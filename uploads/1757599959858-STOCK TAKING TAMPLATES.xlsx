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40" activeTab="5"/>
  </bookViews>
  <sheets>
    <sheet name="MALI GHALANI" sheetId="1" r:id="rId1"/>
    <sheet name="MAGARI NA MITAMBO" sheetId="2" r:id="rId2"/>
    <sheet name="ARDHI" sheetId="3" r:id="rId3"/>
    <sheet name="MAJENGO" sheetId="4" r:id="rId4"/>
    <sheet name="SAMANI" sheetId="5" r:id="rId5"/>
    <sheet name="MALI ZA KUONDOSHA" sheetId="6" r:id="rId6"/>
    <sheet name="NOT IN GAMIS" sheetId="7" r:id="rId7"/>
  </sheets>
  <calcPr calcId="152511"/>
</workbook>
</file>

<file path=xl/calcChain.xml><?xml version="1.0" encoding="utf-8"?>
<calcChain xmlns="http://schemas.openxmlformats.org/spreadsheetml/2006/main">
  <c r="I54" i="6" l="1"/>
  <c r="I94" i="5" l="1"/>
  <c r="K36" i="1" l="1"/>
  <c r="K37" i="1" s="1"/>
  <c r="K113" i="1" s="1"/>
  <c r="I36" i="1"/>
  <c r="I7" i="7" l="1"/>
  <c r="I7" i="4" l="1"/>
  <c r="I4" i="3"/>
  <c r="I9" i="2"/>
</calcChain>
</file>

<file path=xl/sharedStrings.xml><?xml version="1.0" encoding="utf-8"?>
<sst xmlns="http://schemas.openxmlformats.org/spreadsheetml/2006/main" count="1578" uniqueCount="568">
  <si>
    <t>Na.</t>
  </si>
  <si>
    <t xml:space="preserve">Na. </t>
  </si>
  <si>
    <t>Nambatambulishi</t>
  </si>
  <si>
    <t xml:space="preserve">Aina </t>
  </si>
  <si>
    <t>Nambayainjini </t>
  </si>
  <si>
    <t>Hali yake</t>
  </si>
  <si>
    <t>Tareheyakununua</t>
  </si>
  <si>
    <t>Bei yakununulia</t>
  </si>
  <si>
    <t> 1</t>
  </si>
  <si>
    <t> 2</t>
  </si>
  <si>
    <t>I.              MAGARI/MITAMBO</t>
  </si>
  <si>
    <t>Namba tambulishi</t>
  </si>
  <si>
    <t>chasis na.</t>
  </si>
  <si>
    <t>sehemu liliko</t>
  </si>
  <si>
    <t>Aina ya Mali</t>
  </si>
  <si>
    <t>sehemuilipo</t>
  </si>
  <si>
    <t>haliyaardhi (imeendelezwa /haijaendelezwa)</t>
  </si>
  <si>
    <t>Survey status</t>
  </si>
  <si>
    <t>NambayaHati</t>
  </si>
  <si>
    <t>Matumiziyaardhi</t>
  </si>
  <si>
    <t>Mwakawakununua</t>
  </si>
  <si>
    <t>Jina la Jengo</t>
  </si>
  <si>
    <t>Idadiyaghorofa</t>
  </si>
  <si>
    <t xml:space="preserve">Hali yamatumizi(linatumika/halitumiki) </t>
  </si>
  <si>
    <t>haliyajengo</t>
  </si>
  <si>
    <t>Nambayakiwanjajengolilipo</t>
  </si>
  <si>
    <t>Matumizi</t>
  </si>
  <si>
    <t>Tareheyakununuliwa/kupewa</t>
  </si>
  <si>
    <t>Gharamayakununulia</t>
  </si>
  <si>
    <t>Aina yamali</t>
  </si>
  <si>
    <t>Idara ilipo</t>
  </si>
  <si>
    <t>jengokilipo</t>
  </si>
  <si>
    <t>chumbakilipo</t>
  </si>
  <si>
    <t>Hali yakifaa</t>
  </si>
  <si>
    <t>Bei ya kununulia</t>
  </si>
  <si>
    <t>Hali ya Mali</t>
  </si>
  <si>
    <t>Sababu za uchakavu/uondoshaji</t>
  </si>
  <si>
    <t>jengo kilipo</t>
  </si>
  <si>
    <t>Idarai lipo</t>
  </si>
  <si>
    <t>Tarehe ya kununua</t>
  </si>
  <si>
    <t>2.    JEDWALI LA KUHESABBU MALI ZA KUDUMU</t>
  </si>
  <si>
    <t>3.              MAJENGO</t>
  </si>
  <si>
    <t>4.              SAMANI NA VIFAA</t>
  </si>
  <si>
    <t>5. ORODHA YA MALI ZA KUONDOSHA</t>
  </si>
  <si>
    <t>EA</t>
  </si>
  <si>
    <t>PKT</t>
  </si>
  <si>
    <t>SHEET</t>
  </si>
  <si>
    <t>Highlighter</t>
  </si>
  <si>
    <t>RM</t>
  </si>
  <si>
    <t>Manila Sheet</t>
  </si>
  <si>
    <t>Pencil HB</t>
  </si>
  <si>
    <t>DOZ</t>
  </si>
  <si>
    <t>6375B</t>
  </si>
  <si>
    <t>ROLL</t>
  </si>
  <si>
    <t>BOX</t>
  </si>
  <si>
    <t>Graph Paper</t>
  </si>
  <si>
    <t>PAD</t>
  </si>
  <si>
    <t>NZURI</t>
  </si>
  <si>
    <t>0565</t>
  </si>
  <si>
    <t>0707</t>
  </si>
  <si>
    <t>STL 5211</t>
  </si>
  <si>
    <t>STL 5211, Make: Nissan, Model: Hard body, body type: Pick up Double Cabin, CC: 3200.</t>
  </si>
  <si>
    <t>YD25B044479</t>
  </si>
  <si>
    <t>ADNCPUD2220050567</t>
  </si>
  <si>
    <t>GPSA TABORA</t>
  </si>
  <si>
    <t>2016/2017</t>
  </si>
  <si>
    <t>JUMLA</t>
  </si>
  <si>
    <t>Land Value</t>
  </si>
  <si>
    <t>TABORA</t>
  </si>
  <si>
    <t>IMEENDELEZWA</t>
  </si>
  <si>
    <t>-</t>
  </si>
  <si>
    <t>OFISI</t>
  </si>
  <si>
    <t>MAIN OFFICE BLOCK</t>
  </si>
  <si>
    <t>TOILET BLOCK</t>
  </si>
  <si>
    <t>GATE HOUSE</t>
  </si>
  <si>
    <t>FILLING STATION SHED</t>
  </si>
  <si>
    <t>LINATUMIKA</t>
  </si>
  <si>
    <t>MBAYA</t>
  </si>
  <si>
    <t>CHOO</t>
  </si>
  <si>
    <t>ULINZI</t>
  </si>
  <si>
    <t>KUJAZIA MAFUTA</t>
  </si>
  <si>
    <t>GPSA*30*002478</t>
  </si>
  <si>
    <t>GPSA*30*002484</t>
  </si>
  <si>
    <t>DISPENSER MFD by Gilbarco China 2 Hose  A and B (lag)</t>
  </si>
  <si>
    <t>GPSA*30*002483</t>
  </si>
  <si>
    <t>TOKHEIM FUEL PUMP, SN. 92 85 39 L SINGAL HOSE(Small0</t>
  </si>
  <si>
    <t>GPSA*30*002442</t>
  </si>
  <si>
    <t>COMPUTER MONITOR, Hp flat screen 17 made in china SN. 3CQ5032H4Z</t>
  </si>
  <si>
    <t>GPSA*30*002441</t>
  </si>
  <si>
    <t>PROCESSOR HP, SN. TRF5340RXO</t>
  </si>
  <si>
    <t>GPSA*30*002447</t>
  </si>
  <si>
    <t>COMPUTER MONITOR, Dell flat screen 17 made in china SN. CN-0U417N-6180-9BQ-2X9U</t>
  </si>
  <si>
    <t>GPSA*30*002448</t>
  </si>
  <si>
    <t>PROCESSOR Dell, SN.GYK4425</t>
  </si>
  <si>
    <t>GPSA*30*002449</t>
  </si>
  <si>
    <t>SMART UPS, APC 1000 SN. As0226231311</t>
  </si>
  <si>
    <t>GPSA*30*002436</t>
  </si>
  <si>
    <t>PRINTER HP, Laserjet Pro 400M4 ola SN.VNH4R08416</t>
  </si>
  <si>
    <t>GPSA*30*002464</t>
  </si>
  <si>
    <t>AIRCONDITIONER, LG Sprit unit SN. 221X00HV 202 TALB00584</t>
  </si>
  <si>
    <t>GPSA*30*002463</t>
  </si>
  <si>
    <t>TELEPHONE RECEIVER, Siemens made in China SN. 530054-56700-H303-2C</t>
  </si>
  <si>
    <t>GPSA*30*002462</t>
  </si>
  <si>
    <t>MONITOR, U38ZW22965BA-ACC 1-WW</t>
  </si>
  <si>
    <t>GPSA*30*002443</t>
  </si>
  <si>
    <t>Router TTCL ( SERVER BOX )</t>
  </si>
  <si>
    <t>GPSA*30*002465</t>
  </si>
  <si>
    <t>BINDING MACHINE, 2088C</t>
  </si>
  <si>
    <t>GPSA*30*002445</t>
  </si>
  <si>
    <t>PHOTOCOPY MACHINE, Canon IR2202</t>
  </si>
  <si>
    <t>GPSA*30*002446</t>
  </si>
  <si>
    <t>AIRCONDITIONER LG, Spite unit, SN. 221X00HU 202TAUL0830</t>
  </si>
  <si>
    <t>GPSA*30*002435</t>
  </si>
  <si>
    <t>AIRCONDITIONER LG, SPLIT unit SN. 208HATH00369</t>
  </si>
  <si>
    <t>GPSA*30*002434</t>
  </si>
  <si>
    <t>AIR CONDITIONER, LG, Split unit, SN. 221X00HU 202TAAC00832</t>
  </si>
  <si>
    <t>GPSA*30*002473</t>
  </si>
  <si>
    <t>AIR CONDITIONER, LG, Split unit SN. 002KAWK02929</t>
  </si>
  <si>
    <t>GPSA*30*002497</t>
  </si>
  <si>
    <t>WEIGHING SCALE, 500 LB Type 3901 AAG</t>
  </si>
  <si>
    <t>GPSA*30*002485</t>
  </si>
  <si>
    <t>TANK, LTRS 9000 Diesel</t>
  </si>
  <si>
    <t>GPSA*30*002486</t>
  </si>
  <si>
    <t>GPSA*30*002487</t>
  </si>
  <si>
    <t>TANK, LTRS 10500 Diesel</t>
  </si>
  <si>
    <t>GPSA*30*002461</t>
  </si>
  <si>
    <t>OFFICE DESK, wooden, double pedestal, two drawers and two lockers</t>
  </si>
  <si>
    <t>GPSA*30*002460</t>
  </si>
  <si>
    <t>CONFERENCE TABLE, wooden, eight seaters</t>
  </si>
  <si>
    <t>GPSA*30*002459</t>
  </si>
  <si>
    <t>MOBILE PEDESTAL, three drawers, imported</t>
  </si>
  <si>
    <t>GPSA*30*002457</t>
  </si>
  <si>
    <t>FILING CABINET, four drawers, steel</t>
  </si>
  <si>
    <t>GPSA*30*002458</t>
  </si>
  <si>
    <t>GPSA*30*002456</t>
  </si>
  <si>
    <t>OFFICE CHAIRS, PVC seat, high backrest  and armest swivel on castors</t>
  </si>
  <si>
    <t>GPSA*30*002453</t>
  </si>
  <si>
    <t>OFFCE CHAIR, fabric cushioned seat and high backrest, armrest swivel on castors, imported</t>
  </si>
  <si>
    <t>GPSA*30*002452</t>
  </si>
  <si>
    <t>GPSA*30*002455</t>
  </si>
  <si>
    <t>OFFICE CHAIRS, steel frame, PVC seat and  backrest, armest, imported</t>
  </si>
  <si>
    <t>GPSA*30*002454</t>
  </si>
  <si>
    <t>GPSA*30*002450</t>
  </si>
  <si>
    <t>COMPUTER TABLE, wooden, credenza, 2x2 tiers</t>
  </si>
  <si>
    <t>GPSA*30*002469</t>
  </si>
  <si>
    <t>CALIBRATION CAN 20 LTR</t>
  </si>
  <si>
    <t>GPSA*30*002471</t>
  </si>
  <si>
    <t>FINGER PRINT RECOGNITION BIOMETRICK SYSTEM ,Mfg 2/3/2020, MODEL mb360, INFO  T31CO1F61MOOL03, ZKTECO CHINA</t>
  </si>
  <si>
    <t>GPSA*30*002444</t>
  </si>
  <si>
    <t>OFFICE TABLE, wooden 6 x 2.5 ft</t>
  </si>
  <si>
    <t>GPSA*30*002451</t>
  </si>
  <si>
    <t>OFFICE CHAIR, fabric cushioned seat and high backrest, armrest, swivel on castors, imported</t>
  </si>
  <si>
    <t>GPSA*30*002437</t>
  </si>
  <si>
    <t>OFFICE DESK, wooden, single pedestal, one drawer and one locker, medium</t>
  </si>
  <si>
    <t>GPSA*30*002438</t>
  </si>
  <si>
    <t xml:space="preserve">OFFICE TABLE, steel frame wooden lining top </t>
  </si>
  <si>
    <t>GPSA*30*002428</t>
  </si>
  <si>
    <t>OFFICE CHAIR, fabric cushioned seat, high backrest, armrest swivel on castors, imported</t>
  </si>
  <si>
    <t>GPSA*30*002439</t>
  </si>
  <si>
    <t>SAFE HEAVY DUTY</t>
  </si>
  <si>
    <t>GPSA*30*002440</t>
  </si>
  <si>
    <t xml:space="preserve">CUPBOARD, wooden, double doors </t>
  </si>
  <si>
    <t>GPSA*30*002427</t>
  </si>
  <si>
    <t>OFFICE DESK, wooden, single pedestal, one drawer and one locker, large</t>
  </si>
  <si>
    <t>GPSA*30*002426</t>
  </si>
  <si>
    <t>OFFICE TABLE, steel frame, wooden, with mobile pedestal and one locker</t>
  </si>
  <si>
    <t>GPSA*30*002468</t>
  </si>
  <si>
    <t>OFFICE TABLE, steel frame, wooden  with mobile pedestal, medium</t>
  </si>
  <si>
    <t>GPSA*30*002466</t>
  </si>
  <si>
    <t>GPSA*30*002467</t>
  </si>
  <si>
    <t>OFFICE CHAIR, fabric cushioned seat, high backrest and  armrest, swivel on castors, imported</t>
  </si>
  <si>
    <t>GPSA*30*002474</t>
  </si>
  <si>
    <t>OFFICE TABLE, wooden, one shelf, medium</t>
  </si>
  <si>
    <t>GPSA*30*002472</t>
  </si>
  <si>
    <t>VISITORS' CHAIR, steel frame PVC Seat and backrest, armrest, three seaters</t>
  </si>
  <si>
    <t>GPSA*30*002482</t>
  </si>
  <si>
    <t>OFFICE TABLE, wooden, two  drawers, medium</t>
  </si>
  <si>
    <t>GPSA*30*002481</t>
  </si>
  <si>
    <t>OFFICE CHAIR, fabric cushioned seat, high backrest armrest swivel on costors</t>
  </si>
  <si>
    <t>GPSA*30*002489</t>
  </si>
  <si>
    <t xml:space="preserve">OFFICE DESK, wooden, double pedestal three doors and two drawers </t>
  </si>
  <si>
    <t>GPSA*30*002490</t>
  </si>
  <si>
    <t>OFFICE DESK, wooden, double pedestal, four lockers</t>
  </si>
  <si>
    <t>GPSA*30*002470</t>
  </si>
  <si>
    <t>CUPBOARD, wooden, double door, large</t>
  </si>
  <si>
    <t>GPSA*30*002495</t>
  </si>
  <si>
    <t>RACK, steel, 8x3 tires</t>
  </si>
  <si>
    <t>GPSA*30*002494</t>
  </si>
  <si>
    <t>RACK Steel, 4x3 tires</t>
  </si>
  <si>
    <t>GPSA*30*002493</t>
  </si>
  <si>
    <t>RACK Steel, 3x4 tires</t>
  </si>
  <si>
    <t>GPSA*30*002492</t>
  </si>
  <si>
    <t>GPSA*30*002491</t>
  </si>
  <si>
    <t>RACK Steel, 28x2tires</t>
  </si>
  <si>
    <t>GPSA*30*002496</t>
  </si>
  <si>
    <t>RACK Steel, 8x1tires</t>
  </si>
  <si>
    <t>GPSA*30*002433</t>
  </si>
  <si>
    <t>UPS</t>
  </si>
  <si>
    <t>GPSA*30*002430</t>
  </si>
  <si>
    <t>SIDE DRAWER</t>
  </si>
  <si>
    <t>GPSA*30*002432</t>
  </si>
  <si>
    <t xml:space="preserve">MONITOR, </t>
  </si>
  <si>
    <t>GPSA*30*002431</t>
  </si>
  <si>
    <t>CPU</t>
  </si>
  <si>
    <t>GPSA*30*002477</t>
  </si>
  <si>
    <t>FIRE EXTINGUISHER</t>
  </si>
  <si>
    <t>GPSA*30*002479</t>
  </si>
  <si>
    <t>GPSA*30*002480</t>
  </si>
  <si>
    <t>GPSA*30*002476</t>
  </si>
  <si>
    <t>GENERATOR MDG 6, KVA 6,</t>
  </si>
  <si>
    <t>GPSA*30*002475</t>
  </si>
  <si>
    <t>LAPTOP COMPUTER DELL</t>
  </si>
  <si>
    <t>GPSA*30*002488</t>
  </si>
  <si>
    <t>GPSA*30*002429</t>
  </si>
  <si>
    <t>OFFICE CHAIR</t>
  </si>
  <si>
    <t>REGIONAL MANAGER'S OFFICE</t>
  </si>
  <si>
    <t>ROOM NO. 5</t>
  </si>
  <si>
    <t>PS TO REGIONAL MANAGERROOM NO. 2</t>
  </si>
  <si>
    <t>WAREHOUSE</t>
  </si>
  <si>
    <t>WAITING ROOM</t>
  </si>
  <si>
    <t>ACCOUNT OFFICE - ROOM NO. 5</t>
  </si>
  <si>
    <t>SECURITY  OFFICE</t>
  </si>
  <si>
    <t>WEARHOUSE</t>
  </si>
  <si>
    <t>ROOM NO. 2</t>
  </si>
  <si>
    <t>ROOM NO. 6</t>
  </si>
  <si>
    <t>ROOM NO.6</t>
  </si>
  <si>
    <t>ROOM NO.7</t>
  </si>
  <si>
    <t>MAIN BLOCK</t>
  </si>
  <si>
    <t>SECURITY BLOCK</t>
  </si>
  <si>
    <t>Good</t>
  </si>
  <si>
    <t>NEW</t>
  </si>
  <si>
    <t>New</t>
  </si>
  <si>
    <t>Fair</t>
  </si>
  <si>
    <t>GOOD</t>
  </si>
  <si>
    <t>Poor</t>
  </si>
  <si>
    <t>Very Good</t>
  </si>
  <si>
    <t>TANK, LTRS 38,000 Diesel</t>
  </si>
  <si>
    <t>GPSA*30*002498</t>
  </si>
  <si>
    <t>GPSA001300</t>
  </si>
  <si>
    <t>GPSA001338</t>
  </si>
  <si>
    <t>GPSA001336</t>
  </si>
  <si>
    <t>GPSA00137</t>
  </si>
  <si>
    <t>GPSA001339</t>
  </si>
  <si>
    <t>GPSA001287</t>
  </si>
  <si>
    <t>GPSA03242(GPSA002753)</t>
  </si>
  <si>
    <t>GPSA001275</t>
  </si>
  <si>
    <t>GPSA001343</t>
  </si>
  <si>
    <t>GPSA001356</t>
  </si>
  <si>
    <t>GPSA001366</t>
  </si>
  <si>
    <t>GPSA001385</t>
  </si>
  <si>
    <t>GPSA001374</t>
  </si>
  <si>
    <t>GPSA001373</t>
  </si>
  <si>
    <t>GPSA001378</t>
  </si>
  <si>
    <t>COMPUTER SCREEN, Orgional 15 compaq 7550 SN 223CR</t>
  </si>
  <si>
    <t>KEYBOARD, COMPAQ, SN, B5569EQRNQXOK</t>
  </si>
  <si>
    <t>PROCESSOR COMPAQ SN6529KQ6Z-52W3</t>
  </si>
  <si>
    <t>UPS 500TT POWDER SN.SN B04J 250011158A6</t>
  </si>
  <si>
    <t>FAX MACHINE, Panasonic KX-F P711</t>
  </si>
  <si>
    <t>FIRE EXTINGUISHER Thorn Powder</t>
  </si>
  <si>
    <t>OFFICE CHAIRS, Wooden local made</t>
  </si>
  <si>
    <t>OFFICE TABLE, Wooden  two drawes, medium</t>
  </si>
  <si>
    <t>TROLLEY, Steel, two wheels</t>
  </si>
  <si>
    <t xml:space="preserve">OFFICE CHAIRS, Wooden </t>
  </si>
  <si>
    <t>SOFA CHAIRS, Wooden, loose cushioned</t>
  </si>
  <si>
    <t>SOFA CHAIRS, Wooden, loose cushioned,single seater</t>
  </si>
  <si>
    <t>SOFA CHAIRS, Wooden, loose cushioned, three seater</t>
  </si>
  <si>
    <t>OFFICE TABLE</t>
  </si>
  <si>
    <t xml:space="preserve">UPS </t>
  </si>
  <si>
    <t>FAX MACHINE</t>
  </si>
  <si>
    <t>CUPBOARD</t>
  </si>
  <si>
    <t xml:space="preserve">TV </t>
  </si>
  <si>
    <t xml:space="preserve">FIRE EXTINGUISHER </t>
  </si>
  <si>
    <t>FRIDGE</t>
  </si>
  <si>
    <t>AGIP</t>
  </si>
  <si>
    <t>TROLLEY</t>
  </si>
  <si>
    <t>OFFICE COACH</t>
  </si>
  <si>
    <t>PS TO REGIONAL MANAGER R.NO 2</t>
  </si>
  <si>
    <t>CLEANERS ROOM . R.NO.8</t>
  </si>
  <si>
    <t>WARE HOUSE</t>
  </si>
  <si>
    <t>FUEL OFFICE R.NO.9</t>
  </si>
  <si>
    <t>SECURITY OFFICE</t>
  </si>
  <si>
    <t>ACCOUNTS OFFICE R.NO. 6</t>
  </si>
  <si>
    <t>PMU</t>
  </si>
  <si>
    <t>V.Poor</t>
  </si>
  <si>
    <t xml:space="preserve">UCHAKAVU </t>
  </si>
  <si>
    <t>GPSA*30*002499</t>
  </si>
  <si>
    <t>FUEL PUMP DISPENSER, EGD- 212G, EAGLE STAR,TWO NOZZLE</t>
  </si>
  <si>
    <t>MALI AMBAZO HAZIPO KATIKA MFUMO WA GAMIS MKOA WA TABORA</t>
  </si>
  <si>
    <t>GPSA*30*002500</t>
  </si>
  <si>
    <t>ALMA FLOWMETER, AQ 3175</t>
  </si>
  <si>
    <t>ROOM NO 6</t>
  </si>
  <si>
    <t>FAIR</t>
  </si>
  <si>
    <t>EGD- 212G</t>
  </si>
  <si>
    <t>EGD- 212G, EAGLE STAR</t>
  </si>
  <si>
    <t>China 2 Hose</t>
  </si>
  <si>
    <t>China 2 Hose,TWO NOZZLE</t>
  </si>
  <si>
    <t>VEEDER ROOT, PUMP DISPENSER, S/N 14263</t>
  </si>
  <si>
    <t>NUOVU, PUMP DISPENSER, SERIAL NO1200</t>
  </si>
  <si>
    <t>1990/1991</t>
  </si>
  <si>
    <t>GOVERNMENT PROCUREMENT SERVICES AGENCY</t>
  </si>
  <si>
    <t>906A</t>
  </si>
  <si>
    <t>Item Number</t>
  </si>
  <si>
    <t>Description</t>
  </si>
  <si>
    <t>UOM</t>
  </si>
  <si>
    <t>GIMIS BALANCE</t>
  </si>
  <si>
    <t>Value</t>
  </si>
  <si>
    <t>HALI YA BIDHAA</t>
  </si>
  <si>
    <t>4582</t>
  </si>
  <si>
    <t>TONER CATRIDGE HP 26A</t>
  </si>
  <si>
    <t>4701</t>
  </si>
  <si>
    <t>4800</t>
  </si>
  <si>
    <t>TONER CATRIDGE HP 59A</t>
  </si>
  <si>
    <t>5041</t>
  </si>
  <si>
    <t>TONER CATRIDGE HP 53A</t>
  </si>
  <si>
    <t>5201</t>
  </si>
  <si>
    <t>TONER CATRIDGE HP 80A</t>
  </si>
  <si>
    <t>5279</t>
  </si>
  <si>
    <t>TONER CATRIDGE HP 85A</t>
  </si>
  <si>
    <t>Sub Total</t>
  </si>
  <si>
    <t>Class 2</t>
  </si>
  <si>
    <t>Basket Waste</t>
  </si>
  <si>
    <t xml:space="preserve">Brass Lapel Pins of a </t>
  </si>
  <si>
    <t>Each</t>
  </si>
  <si>
    <t>0713</t>
  </si>
  <si>
    <t>National Flag URT - Jeneza</t>
  </si>
  <si>
    <t>553</t>
  </si>
  <si>
    <t>Hard Brooms</t>
  </si>
  <si>
    <t>555</t>
  </si>
  <si>
    <t xml:space="preserve">Soft Broom Plastic 300mm </t>
  </si>
  <si>
    <t>710</t>
  </si>
  <si>
    <t>National Flag URT Car</t>
  </si>
  <si>
    <t>712</t>
  </si>
  <si>
    <t>National Flag URT Mlingoti</t>
  </si>
  <si>
    <t>730</t>
  </si>
  <si>
    <t xml:space="preserve">Portrait - Father of the </t>
  </si>
  <si>
    <t>731</t>
  </si>
  <si>
    <t>Portrait-President Framed</t>
  </si>
  <si>
    <t>Class 50</t>
  </si>
  <si>
    <t>14</t>
  </si>
  <si>
    <t>Diesel</t>
  </si>
  <si>
    <t>LT</t>
  </si>
  <si>
    <t>Class 6</t>
  </si>
  <si>
    <t>6003</t>
  </si>
  <si>
    <t>Glue 160 ml</t>
  </si>
  <si>
    <t>BTL</t>
  </si>
  <si>
    <t>6008</t>
  </si>
  <si>
    <t xml:space="preserve">Combined Requisition and </t>
  </si>
  <si>
    <t>6014 B</t>
  </si>
  <si>
    <t xml:space="preserve">Exercise Book100 pgs. </t>
  </si>
  <si>
    <t>6016</t>
  </si>
  <si>
    <t xml:space="preserve">Counter Book 2Quire </t>
  </si>
  <si>
    <t>6017</t>
  </si>
  <si>
    <t xml:space="preserve">Counter Book 4Quire </t>
  </si>
  <si>
    <t>6018</t>
  </si>
  <si>
    <t xml:space="preserve">Dispatch Book 190 x 130 </t>
  </si>
  <si>
    <t>6019</t>
  </si>
  <si>
    <t xml:space="preserve">Note Book Spiral, Size </t>
  </si>
  <si>
    <t>6023</t>
  </si>
  <si>
    <t>Sticker Paper Pad</t>
  </si>
  <si>
    <t>6025</t>
  </si>
  <si>
    <t xml:space="preserve">Draft Pad Small </t>
  </si>
  <si>
    <t>6026</t>
  </si>
  <si>
    <t>Draft Pad F/S -100 sheets</t>
  </si>
  <si>
    <t>6035</t>
  </si>
  <si>
    <t xml:space="preserve">Visitors Book Size: 25 cm L </t>
  </si>
  <si>
    <t>6036</t>
  </si>
  <si>
    <t xml:space="preserve">Log Book Carbonized </t>
  </si>
  <si>
    <t>6060</t>
  </si>
  <si>
    <t>Calendar</t>
  </si>
  <si>
    <t>6091</t>
  </si>
  <si>
    <t>Paper Clips Stainless PC-</t>
  </si>
  <si>
    <t>6141</t>
  </si>
  <si>
    <t xml:space="preserve">Correction Pen Metal Tip </t>
  </si>
  <si>
    <t>6145</t>
  </si>
  <si>
    <t xml:space="preserve">Transparent Sheet </t>
  </si>
  <si>
    <t>6152</t>
  </si>
  <si>
    <t xml:space="preserve">Envelopes Small A5 Manila </t>
  </si>
  <si>
    <t>6158</t>
  </si>
  <si>
    <t xml:space="preserve">Envelopes Medium A4 </t>
  </si>
  <si>
    <t>6160</t>
  </si>
  <si>
    <t xml:space="preserve">Envelopes Large A3 Manila </t>
  </si>
  <si>
    <t>6183</t>
  </si>
  <si>
    <t>Black Board Duster</t>
  </si>
  <si>
    <t>6184</t>
  </si>
  <si>
    <t>6192</t>
  </si>
  <si>
    <t>File Cover General</t>
  </si>
  <si>
    <t>6199</t>
  </si>
  <si>
    <t xml:space="preserve">File Lever Arch </t>
  </si>
  <si>
    <t>6207</t>
  </si>
  <si>
    <t>File Cover Confidential</t>
  </si>
  <si>
    <t>6280</t>
  </si>
  <si>
    <t xml:space="preserve">Photocopy Paper A3 </t>
  </si>
  <si>
    <t>6281</t>
  </si>
  <si>
    <t>6282</t>
  </si>
  <si>
    <t xml:space="preserve">Paper Photocopy A4 </t>
  </si>
  <si>
    <t>6287</t>
  </si>
  <si>
    <t>Legal Paper</t>
  </si>
  <si>
    <t>6288</t>
  </si>
  <si>
    <t xml:space="preserve">Hard Cover Manila A4 </t>
  </si>
  <si>
    <t>6289</t>
  </si>
  <si>
    <t>6292</t>
  </si>
  <si>
    <t>Carbon Paper Black</t>
  </si>
  <si>
    <t>6296</t>
  </si>
  <si>
    <t xml:space="preserve">Duplicating Paper A4 </t>
  </si>
  <si>
    <t>6320</t>
  </si>
  <si>
    <t xml:space="preserve">Minute Sheet A4 </t>
  </si>
  <si>
    <t>6325</t>
  </si>
  <si>
    <t xml:space="preserve">Paper Examination F/S </t>
  </si>
  <si>
    <t>6328</t>
  </si>
  <si>
    <t>Carbon Red Paper</t>
  </si>
  <si>
    <t>6332</t>
  </si>
  <si>
    <t>Flip Chart sheet</t>
  </si>
  <si>
    <t>6341</t>
  </si>
  <si>
    <t>6375</t>
  </si>
  <si>
    <t>Ball Pen Blue/Black</t>
  </si>
  <si>
    <t xml:space="preserve">Ball Pen Blue/Black </t>
  </si>
  <si>
    <t>6377</t>
  </si>
  <si>
    <t xml:space="preserve">Ball Pen Red </t>
  </si>
  <si>
    <t>6377B</t>
  </si>
  <si>
    <t xml:space="preserve">Ball Pen Red (Smooth line </t>
  </si>
  <si>
    <t>6378</t>
  </si>
  <si>
    <t xml:space="preserve">Mark pen Permanent </t>
  </si>
  <si>
    <t>6411</t>
  </si>
  <si>
    <t>Punch Machine 2 Hole</t>
  </si>
  <si>
    <t>6412</t>
  </si>
  <si>
    <t xml:space="preserve">Punch Machine Heavy </t>
  </si>
  <si>
    <t>6440</t>
  </si>
  <si>
    <t xml:space="preserve">Stapling Machine Std with </t>
  </si>
  <si>
    <t>6442</t>
  </si>
  <si>
    <t xml:space="preserve">Heavy Duty Stapling </t>
  </si>
  <si>
    <t>6446</t>
  </si>
  <si>
    <t xml:space="preserve">Staple Pins Heavy Duty </t>
  </si>
  <si>
    <t>6447</t>
  </si>
  <si>
    <t>Stapling Pins Size 24/6-1M</t>
  </si>
  <si>
    <t>6476</t>
  </si>
  <si>
    <t>Cello tape of width’ 1’</t>
  </si>
  <si>
    <t>6477</t>
  </si>
  <si>
    <t xml:space="preserve">Cello Tape of width 2” </t>
  </si>
  <si>
    <t>6526</t>
  </si>
  <si>
    <t>Ruler for Blackboard</t>
  </si>
  <si>
    <t>6526B</t>
  </si>
  <si>
    <t>Ruler small</t>
  </si>
  <si>
    <t>6581</t>
  </si>
  <si>
    <t xml:space="preserve">Green Tags: Cotton rope </t>
  </si>
  <si>
    <t>6645</t>
  </si>
  <si>
    <t xml:space="preserve">Chalk White in a box of </t>
  </si>
  <si>
    <t>6646</t>
  </si>
  <si>
    <t>Office Paper Tray</t>
  </si>
  <si>
    <t>6649</t>
  </si>
  <si>
    <t xml:space="preserve">Note Book Spiral Executive </t>
  </si>
  <si>
    <t>6651</t>
  </si>
  <si>
    <t xml:space="preserve">Counter book 1QR pg 96 </t>
  </si>
  <si>
    <t>6652</t>
  </si>
  <si>
    <t xml:space="preserve">Counter Book 3Quire </t>
  </si>
  <si>
    <t>6801</t>
  </si>
  <si>
    <t>6806</t>
  </si>
  <si>
    <t>Admission Register</t>
  </si>
  <si>
    <t>6811</t>
  </si>
  <si>
    <t>Lesson Plan STD I-IV</t>
  </si>
  <si>
    <t>6812</t>
  </si>
  <si>
    <t xml:space="preserve">Attendance Register - Life </t>
  </si>
  <si>
    <t>Grand Total</t>
  </si>
  <si>
    <t>3.               ARDHI</t>
  </si>
  <si>
    <t>GPSA*30*002516</t>
  </si>
  <si>
    <t>WATER DISPENCER</t>
  </si>
  <si>
    <t>2024/2025</t>
  </si>
  <si>
    <t>AVOQ</t>
  </si>
  <si>
    <t>ROOM NO. 9</t>
  </si>
  <si>
    <t>CLOSING BALANCE REPORT/TAKING REPORT</t>
  </si>
  <si>
    <t>BINCARD BALANCE</t>
  </si>
  <si>
    <t>PHYSICAL BALANCE</t>
  </si>
  <si>
    <t>SURPLUS</t>
  </si>
  <si>
    <t>SHORT</t>
  </si>
  <si>
    <t>Rate 
(Buying Price)</t>
  </si>
  <si>
    <t xml:space="preserve">TONER CATRIDGE HP </t>
  </si>
  <si>
    <t>716</t>
  </si>
  <si>
    <t xml:space="preserve">National Flag URT </t>
  </si>
  <si>
    <t>Class 5</t>
  </si>
  <si>
    <t>0613</t>
  </si>
  <si>
    <t xml:space="preserve">Liquid Detergents soap 5 </t>
  </si>
  <si>
    <t>6012</t>
  </si>
  <si>
    <t xml:space="preserve">Kadi ya Maendeleo-Life </t>
  </si>
  <si>
    <t>6020</t>
  </si>
  <si>
    <t xml:space="preserve">Note Book Spiral Ordinary, </t>
  </si>
  <si>
    <t>6064</t>
  </si>
  <si>
    <t>Diary</t>
  </si>
  <si>
    <t>6146</t>
  </si>
  <si>
    <t>Plastic Folder A4</t>
  </si>
  <si>
    <t>6181</t>
  </si>
  <si>
    <t>Rubber Lesser</t>
  </si>
  <si>
    <t xml:space="preserve">Photocopy Paper A4 - </t>
  </si>
  <si>
    <t>6294</t>
  </si>
  <si>
    <t>Carbon Paper Blue</t>
  </si>
  <si>
    <t>6375 C</t>
  </si>
  <si>
    <t>6377 C</t>
  </si>
  <si>
    <t xml:space="preserve">
</t>
  </si>
  <si>
    <t>6650</t>
  </si>
  <si>
    <t>6808</t>
  </si>
  <si>
    <t>Class Journal</t>
  </si>
  <si>
    <t>WASTANI</t>
  </si>
  <si>
    <t>GPSA*30*010773</t>
  </si>
  <si>
    <t>HP COMPUTER SET</t>
  </si>
  <si>
    <t>APC (SMART UPS)</t>
  </si>
  <si>
    <t>GPSA*30*010774</t>
  </si>
  <si>
    <t>GPSA*30*010772</t>
  </si>
  <si>
    <t>KISHKWAMBI, OUKTEL,RT7 TITAN</t>
  </si>
  <si>
    <t>GPSA*30*010766</t>
  </si>
  <si>
    <t>LAPTOP HP, ELITEBOOK</t>
  </si>
  <si>
    <t>GPSA*30*002510</t>
  </si>
  <si>
    <t>COMFERENCE CHAIR</t>
  </si>
  <si>
    <t>GPSA*30*002509</t>
  </si>
  <si>
    <t>TWO DOOR FILESTEAL CABINET</t>
  </si>
  <si>
    <t>GPSA*30*002512</t>
  </si>
  <si>
    <t>FOUR DRAWER FILLING CABINET</t>
  </si>
  <si>
    <t>GPSA*30*002503</t>
  </si>
  <si>
    <t>GPSA*30*002504</t>
  </si>
  <si>
    <t>GPSA*30*002511</t>
  </si>
  <si>
    <t>SOFA SET FOR THREE PEOPLE</t>
  </si>
  <si>
    <t>GPSA*30*002515</t>
  </si>
  <si>
    <t>GPSA*30*002508</t>
  </si>
  <si>
    <t>GPSA*30*002507</t>
  </si>
  <si>
    <t>GPSA*30*002502</t>
  </si>
  <si>
    <t>GPSA*30*002501</t>
  </si>
  <si>
    <t>GPSA*30*002505</t>
  </si>
  <si>
    <t>GPSA*30*002513</t>
  </si>
  <si>
    <t>EXECUTIVE TABLE</t>
  </si>
  <si>
    <t>GPSA*30*002514</t>
  </si>
  <si>
    <t>EXECUTIVE CHAIR</t>
  </si>
  <si>
    <t>GPSA*30*002520</t>
  </si>
  <si>
    <t xml:space="preserve">OFFICE CHAIR </t>
  </si>
  <si>
    <t>GPSA*30*002519</t>
  </si>
  <si>
    <t>GPSA*30*002518</t>
  </si>
  <si>
    <t>GPSA*30*002517</t>
  </si>
  <si>
    <t>GPSA*30*002506</t>
  </si>
  <si>
    <t>ROOM NO 7</t>
  </si>
  <si>
    <t xml:space="preserve">PS TO REGIONAL MANAGER ROOM NO. 4       </t>
  </si>
  <si>
    <t xml:space="preserve">ROOM NO 5       </t>
  </si>
  <si>
    <t>ACCOUNT OFFICE               ROOM NO. 5</t>
  </si>
  <si>
    <t>ACCOUNT OFFICE               ROOM NO. 6</t>
  </si>
  <si>
    <t>CLEANERS ROOM                                                                                                      ROOM NO 8</t>
  </si>
  <si>
    <t>ROOM NO 8</t>
  </si>
  <si>
    <t>ROOM 6</t>
  </si>
  <si>
    <t>REGIONAL MANAGER  ROOM NO 4</t>
  </si>
  <si>
    <t>WERE HOUSE</t>
  </si>
  <si>
    <t>ACCOUNT OFFICE - ROOM NO. 6</t>
  </si>
  <si>
    <t>PMU                                                                                                                                                                                                                                         ROOM NO. 9</t>
  </si>
  <si>
    <t>ACCOUNT OFFICE - ROOM NO. 4</t>
  </si>
  <si>
    <t>ACCOUNTANT                                          ROOM NO. 6</t>
  </si>
  <si>
    <t>WERE OUSE</t>
  </si>
  <si>
    <t>OUTSIDE WEREHOUSE</t>
  </si>
  <si>
    <t>ROOM NO.2</t>
  </si>
  <si>
    <t>ROOM 2</t>
  </si>
  <si>
    <t>ROOM 7</t>
  </si>
  <si>
    <t>ROOM 5</t>
  </si>
  <si>
    <t>ROOM 3</t>
  </si>
  <si>
    <t>ROOM NO 2</t>
  </si>
  <si>
    <t>ROOM NO 3</t>
  </si>
  <si>
    <t>ROOM 8</t>
  </si>
  <si>
    <t>ROOM8</t>
  </si>
  <si>
    <t>POOR</t>
  </si>
  <si>
    <t>2019/2020</t>
  </si>
  <si>
    <t>2020/2021</t>
  </si>
  <si>
    <t>2016/17</t>
  </si>
  <si>
    <t>2019/20</t>
  </si>
  <si>
    <t>2021/2022</t>
  </si>
  <si>
    <t>GENERETOR KIPOR KDE 6700TA3                  Model KDE 6700TA3                                     RATED POWER KVA 5.56.3                           RATED FREQUENCY HZ 5060                       VOLTAGE V (231400)(241416)                      RATED CURRENT A7.987                              POWER FACTOR A8(Lag)                             RATED ROTATION SPEED VMIN 30003600                                                          PHASE THREE PHASES                                     WEIGHT KIG 182</t>
  </si>
  <si>
    <t>SHED</t>
  </si>
  <si>
    <t>MOBILE PEDESTRAL, three drawers, imported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</si>
</sst>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mmmm\ d\,\ yyyy"/>
    <numFmt numFmtId="167" formatCode="#,##0.00#"/>
    <numFmt numFmtId="168" formatCode="#,##0.###"/>
  </numFmts>
  <fonts count="3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Tahoma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Tahoma"/>
      <family val="2"/>
    </font>
    <font>
      <sz val="12"/>
      <color rgb="FF000000"/>
      <name val="Tahoma"/>
      <family val="2"/>
    </font>
    <font>
      <b/>
      <sz val="14"/>
      <color rgb="FF000000"/>
      <name val="Arial"/>
      <family val="2"/>
    </font>
    <font>
      <sz val="14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Times New Roman"/>
      <family val="1"/>
    </font>
    <font>
      <sz val="16"/>
      <color theme="1"/>
      <name val="Calibri"/>
      <family val="2"/>
      <scheme val="minor"/>
    </font>
    <font>
      <sz val="12"/>
      <color rgb="FF000000"/>
      <name val="SansSerif"/>
      <family val="2"/>
    </font>
    <font>
      <b/>
      <sz val="12"/>
      <color rgb="FF000000"/>
      <name val="SansSerif"/>
      <family val="2"/>
    </font>
    <font>
      <b/>
      <sz val="11"/>
      <color rgb="FF000000"/>
      <name val="SansSerif"/>
      <family val="2"/>
    </font>
    <font>
      <sz val="11"/>
      <color rgb="FF000000"/>
      <name val="SansSerif"/>
      <family val="2"/>
    </font>
    <font>
      <b/>
      <sz val="10"/>
      <color rgb="FF000000"/>
      <name val="SansSerif"/>
      <family val="2"/>
    </font>
    <font>
      <sz val="12"/>
      <color rgb="FF000000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5F5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9" fillId="0" borderId="0" applyFont="0" applyFill="0" applyBorder="0" applyAlignment="0" applyProtection="0"/>
    <xf numFmtId="0" fontId="10" fillId="0" borderId="0" applyNumberFormat="0"/>
    <xf numFmtId="43" fontId="9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 applyAlignment="1">
      <alignment horizontal="justify"/>
    </xf>
    <xf numFmtId="0" fontId="4" fillId="0" borderId="0" xfId="0" applyFont="1" applyAlignment="1">
      <alignment horizontal="justify"/>
    </xf>
    <xf numFmtId="0" fontId="5" fillId="0" borderId="3" xfId="0" applyFont="1" applyBorder="1"/>
    <xf numFmtId="0" fontId="6" fillId="0" borderId="4" xfId="0" applyFont="1" applyBorder="1"/>
    <xf numFmtId="0" fontId="6" fillId="0" borderId="3" xfId="0" applyFont="1" applyBorder="1"/>
    <xf numFmtId="0" fontId="7" fillId="0" borderId="0" xfId="0" applyFont="1"/>
    <xf numFmtId="0" fontId="5" fillId="0" borderId="4" xfId="0" applyFont="1" applyBorder="1"/>
    <xf numFmtId="0" fontId="8" fillId="0" borderId="6" xfId="0" applyFont="1" applyBorder="1"/>
    <xf numFmtId="0" fontId="8" fillId="0" borderId="2" xfId="0" applyFont="1" applyBorder="1" applyAlignment="1">
      <alignment wrapText="1"/>
    </xf>
    <xf numFmtId="0" fontId="8" fillId="0" borderId="2" xfId="0" applyFont="1" applyBorder="1"/>
    <xf numFmtId="0" fontId="12" fillId="0" borderId="3" xfId="0" applyFont="1" applyBorder="1"/>
    <xf numFmtId="0" fontId="8" fillId="0" borderId="9" xfId="0" applyFont="1" applyBorder="1" applyAlignment="1">
      <alignment wrapText="1"/>
    </xf>
    <xf numFmtId="0" fontId="8" fillId="0" borderId="9" xfId="0" applyFont="1" applyBorder="1"/>
    <xf numFmtId="0" fontId="8" fillId="0" borderId="9" xfId="0" applyFont="1" applyBorder="1" applyAlignment="1">
      <alignment horizontal="center" wrapText="1"/>
    </xf>
    <xf numFmtId="0" fontId="13" fillId="0" borderId="2" xfId="0" applyFont="1" applyBorder="1"/>
    <xf numFmtId="0" fontId="14" fillId="0" borderId="6" xfId="0" applyFont="1" applyBorder="1"/>
    <xf numFmtId="0" fontId="14" fillId="0" borderId="2" xfId="0" applyFont="1" applyBorder="1"/>
    <xf numFmtId="0" fontId="14" fillId="0" borderId="2" xfId="0" applyFont="1" applyBorder="1" applyAlignment="1">
      <alignment wrapText="1"/>
    </xf>
    <xf numFmtId="165" fontId="14" fillId="0" borderId="2" xfId="0" applyNumberFormat="1" applyFont="1" applyBorder="1" applyAlignment="1">
      <alignment wrapText="1"/>
    </xf>
    <xf numFmtId="165" fontId="13" fillId="0" borderId="2" xfId="0" applyNumberFormat="1" applyFont="1" applyBorder="1"/>
    <xf numFmtId="0" fontId="0" fillId="0" borderId="0" xfId="0" applyFill="1" applyAlignment="1" applyProtection="1">
      <alignment horizontal="left"/>
      <protection locked="0"/>
    </xf>
    <xf numFmtId="164" fontId="0" fillId="0" borderId="0" xfId="1" applyFont="1"/>
    <xf numFmtId="0" fontId="15" fillId="0" borderId="0" xfId="0" applyFont="1"/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165" fontId="3" fillId="0" borderId="7" xfId="3" applyNumberFormat="1" applyFont="1" applyBorder="1" applyAlignment="1">
      <alignment vertical="center" wrapText="1"/>
    </xf>
    <xf numFmtId="0" fontId="12" fillId="0" borderId="10" xfId="0" applyFont="1" applyBorder="1"/>
    <xf numFmtId="0" fontId="3" fillId="0" borderId="8" xfId="0" applyFont="1" applyBorder="1" applyAlignment="1">
      <alignment horizontal="center" vertical="center" wrapText="1"/>
    </xf>
    <xf numFmtId="165" fontId="3" fillId="0" borderId="8" xfId="3" applyNumberFormat="1" applyFont="1" applyBorder="1" applyAlignment="1">
      <alignment vertical="center" wrapText="1"/>
    </xf>
    <xf numFmtId="0" fontId="16" fillId="0" borderId="6" xfId="0" applyFont="1" applyBorder="1"/>
    <xf numFmtId="0" fontId="16" fillId="0" borderId="2" xfId="0" applyFont="1" applyBorder="1" applyAlignment="1">
      <alignment wrapText="1"/>
    </xf>
    <xf numFmtId="0" fontId="3" fillId="0" borderId="7" xfId="0" applyFont="1" applyBorder="1" applyAlignment="1">
      <alignment horizontal="left" vertical="center" wrapText="1"/>
    </xf>
    <xf numFmtId="12" fontId="12" fillId="0" borderId="10" xfId="0" applyNumberFormat="1" applyFont="1" applyBorder="1" applyAlignment="1">
      <alignment horizontal="right"/>
    </xf>
    <xf numFmtId="0" fontId="16" fillId="0" borderId="2" xfId="0" applyFont="1" applyBorder="1"/>
    <xf numFmtId="0" fontId="3" fillId="2" borderId="7" xfId="0" applyFont="1" applyFill="1" applyBorder="1" applyAlignment="1">
      <alignment horizontal="left" vertical="center" wrapText="1"/>
    </xf>
    <xf numFmtId="0" fontId="17" fillId="0" borderId="3" xfId="0" applyFont="1" applyBorder="1"/>
    <xf numFmtId="0" fontId="17" fillId="0" borderId="3" xfId="0" applyFont="1" applyBorder="1" applyAlignment="1">
      <alignment wrapText="1"/>
    </xf>
    <xf numFmtId="164" fontId="17" fillId="0" borderId="3" xfId="1" applyFont="1" applyBorder="1" applyAlignment="1">
      <alignment wrapText="1"/>
    </xf>
    <xf numFmtId="0" fontId="11" fillId="0" borderId="8" xfId="0" applyFont="1" applyBorder="1" applyProtection="1">
      <protection locked="0"/>
    </xf>
    <xf numFmtId="0" fontId="17" fillId="0" borderId="6" xfId="0" applyFont="1" applyBorder="1"/>
    <xf numFmtId="164" fontId="3" fillId="0" borderId="7" xfId="1" applyFont="1" applyFill="1" applyBorder="1" applyAlignment="1" applyProtection="1">
      <alignment horizontal="left"/>
      <protection locked="0"/>
    </xf>
    <xf numFmtId="0" fontId="18" fillId="0" borderId="6" xfId="0" applyFont="1" applyBorder="1"/>
    <xf numFmtId="0" fontId="18" fillId="0" borderId="2" xfId="0" applyFont="1" applyBorder="1"/>
    <xf numFmtId="0" fontId="18" fillId="0" borderId="2" xfId="0" applyFont="1" applyBorder="1" applyAlignment="1">
      <alignment wrapText="1"/>
    </xf>
    <xf numFmtId="164" fontId="18" fillId="0" borderId="2" xfId="0" applyNumberFormat="1" applyFont="1" applyBorder="1" applyAlignment="1">
      <alignment wrapText="1"/>
    </xf>
    <xf numFmtId="0" fontId="19" fillId="0" borderId="3" xfId="0" applyFont="1" applyBorder="1"/>
    <xf numFmtId="0" fontId="16" fillId="0" borderId="1" xfId="0" applyFont="1" applyBorder="1"/>
    <xf numFmtId="0" fontId="16" fillId="0" borderId="9" xfId="0" applyFont="1" applyBorder="1" applyAlignment="1">
      <alignment wrapText="1"/>
    </xf>
    <xf numFmtId="0" fontId="12" fillId="0" borderId="7" xfId="0" applyFont="1" applyBorder="1"/>
    <xf numFmtId="0" fontId="2" fillId="0" borderId="7" xfId="0" applyFont="1" applyFill="1" applyBorder="1" applyAlignment="1" applyProtection="1">
      <alignment horizontal="left"/>
      <protection locked="0"/>
    </xf>
    <xf numFmtId="0" fontId="2" fillId="0" borderId="7" xfId="0" applyFont="1" applyBorder="1"/>
    <xf numFmtId="14" fontId="2" fillId="0" borderId="8" xfId="0" applyNumberFormat="1" applyFont="1" applyFill="1" applyBorder="1" applyAlignment="1" applyProtection="1">
      <alignment horizontal="left"/>
      <protection locked="0"/>
    </xf>
    <xf numFmtId="4" fontId="21" fillId="2" borderId="7" xfId="0" applyNumberFormat="1" applyFont="1" applyFill="1" applyBorder="1" applyAlignment="1">
      <alignment vertical="top"/>
    </xf>
    <xf numFmtId="0" fontId="22" fillId="0" borderId="7" xfId="0" applyFont="1" applyBorder="1"/>
    <xf numFmtId="165" fontId="2" fillId="0" borderId="7" xfId="1" applyNumberFormat="1" applyFont="1" applyFill="1" applyBorder="1" applyAlignment="1">
      <alignment vertical="center" wrapText="1"/>
    </xf>
    <xf numFmtId="0" fontId="2" fillId="0" borderId="8" xfId="0" applyFont="1" applyFill="1" applyBorder="1" applyAlignment="1" applyProtection="1">
      <alignment horizontal="left"/>
      <protection locked="0"/>
    </xf>
    <xf numFmtId="164" fontId="2" fillId="0" borderId="8" xfId="1" applyFont="1" applyFill="1" applyBorder="1" applyAlignment="1" applyProtection="1">
      <alignment horizontal="left"/>
      <protection locked="0"/>
    </xf>
    <xf numFmtId="0" fontId="2" fillId="0" borderId="0" xfId="0" applyFont="1"/>
    <xf numFmtId="0" fontId="20" fillId="0" borderId="5" xfId="0" applyFont="1" applyFill="1" applyBorder="1" applyAlignment="1" applyProtection="1">
      <alignment horizontal="left"/>
      <protection locked="0"/>
    </xf>
    <xf numFmtId="0" fontId="20" fillId="0" borderId="11" xfId="0" applyFont="1" applyBorder="1"/>
    <xf numFmtId="164" fontId="20" fillId="0" borderId="2" xfId="0" applyNumberFormat="1" applyFont="1" applyBorder="1"/>
    <xf numFmtId="0" fontId="1" fillId="0" borderId="0" xfId="0" applyFont="1"/>
    <xf numFmtId="0" fontId="25" fillId="3" borderId="13" xfId="0" applyNumberFormat="1" applyFont="1" applyFill="1" applyBorder="1" applyAlignment="1" applyProtection="1">
      <alignment horizontal="left" vertical="center" wrapText="1"/>
    </xf>
    <xf numFmtId="0" fontId="25" fillId="3" borderId="13" xfId="0" applyNumberFormat="1" applyFont="1" applyFill="1" applyBorder="1" applyAlignment="1" applyProtection="1">
      <alignment horizontal="right" vertical="center" wrapText="1"/>
    </xf>
    <xf numFmtId="0" fontId="25" fillId="3" borderId="7" xfId="0" applyNumberFormat="1" applyFont="1" applyFill="1" applyBorder="1" applyAlignment="1" applyProtection="1">
      <alignment horizontal="right" vertical="center" wrapText="1"/>
    </xf>
    <xf numFmtId="0" fontId="6" fillId="0" borderId="14" xfId="0" applyFont="1" applyBorder="1"/>
    <xf numFmtId="0" fontId="16" fillId="0" borderId="9" xfId="0" applyFont="1" applyBorder="1" applyAlignment="1">
      <alignment horizontal="center" wrapText="1"/>
    </xf>
    <xf numFmtId="0" fontId="13" fillId="0" borderId="4" xfId="0" applyFont="1" applyBorder="1"/>
    <xf numFmtId="0" fontId="3" fillId="0" borderId="7" xfId="0" applyFont="1" applyBorder="1" applyAlignment="1">
      <alignment horizontal="right" vertical="center" wrapText="1"/>
    </xf>
    <xf numFmtId="14" fontId="2" fillId="0" borderId="12" xfId="0" applyNumberFormat="1" applyFont="1" applyFill="1" applyBorder="1" applyAlignment="1" applyProtection="1">
      <alignment horizontal="left"/>
      <protection locked="0"/>
    </xf>
    <xf numFmtId="4" fontId="21" fillId="2" borderId="1" xfId="0" applyNumberFormat="1" applyFont="1" applyFill="1" applyBorder="1" applyAlignment="1">
      <alignment vertical="top"/>
    </xf>
    <xf numFmtId="0" fontId="3" fillId="2" borderId="6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11" fillId="0" borderId="6" xfId="0" applyFont="1" applyBorder="1" applyProtection="1">
      <protection locked="0"/>
    </xf>
    <xf numFmtId="165" fontId="11" fillId="0" borderId="6" xfId="1" applyNumberFormat="1" applyFont="1" applyFill="1" applyBorder="1" applyAlignment="1">
      <alignment vertical="center" wrapText="1"/>
    </xf>
    <xf numFmtId="164" fontId="3" fillId="0" borderId="6" xfId="1" applyFont="1" applyFill="1" applyBorder="1" applyAlignment="1" applyProtection="1">
      <alignment horizontal="left"/>
      <protection locked="0"/>
    </xf>
    <xf numFmtId="0" fontId="11" fillId="0" borderId="12" xfId="0" applyFont="1" applyBorder="1" applyProtection="1">
      <protection locked="0"/>
    </xf>
    <xf numFmtId="0" fontId="2" fillId="0" borderId="6" xfId="0" applyFont="1" applyFill="1" applyBorder="1" applyAlignment="1" applyProtection="1">
      <alignment horizontal="left"/>
      <protection locked="0"/>
    </xf>
    <xf numFmtId="0" fontId="2" fillId="0" borderId="6" xfId="0" applyFont="1" applyBorder="1"/>
    <xf numFmtId="0" fontId="2" fillId="0" borderId="18" xfId="0" applyFont="1" applyFill="1" applyBorder="1" applyAlignment="1" applyProtection="1">
      <alignment horizontal="left"/>
      <protection locked="0"/>
    </xf>
    <xf numFmtId="0" fontId="11" fillId="0" borderId="6" xfId="0" applyFont="1" applyFill="1" applyBorder="1" applyAlignment="1" applyProtection="1">
      <alignment horizontal="left"/>
      <protection locked="0"/>
    </xf>
    <xf numFmtId="0" fontId="11" fillId="0" borderId="17" xfId="0" applyFont="1" applyFill="1" applyBorder="1" applyAlignment="1" applyProtection="1">
      <alignment horizontal="left"/>
      <protection locked="0"/>
    </xf>
    <xf numFmtId="0" fontId="11" fillId="0" borderId="19" xfId="0" applyFont="1" applyFill="1" applyBorder="1" applyAlignment="1" applyProtection="1">
      <alignment horizontal="left"/>
      <protection locked="0"/>
    </xf>
    <xf numFmtId="14" fontId="11" fillId="0" borderId="6" xfId="0" applyNumberFormat="1" applyFont="1" applyFill="1" applyBorder="1" applyAlignment="1" applyProtection="1">
      <alignment horizontal="left"/>
      <protection locked="0"/>
    </xf>
    <xf numFmtId="0" fontId="2" fillId="0" borderId="16" xfId="0" applyFont="1" applyFill="1" applyBorder="1" applyAlignment="1" applyProtection="1">
      <alignment horizontal="left"/>
      <protection locked="0"/>
    </xf>
    <xf numFmtId="0" fontId="11" fillId="0" borderId="18" xfId="0" applyFont="1" applyBorder="1" applyProtection="1">
      <protection locked="0"/>
    </xf>
    <xf numFmtId="0" fontId="11" fillId="0" borderId="0" xfId="0" applyFont="1" applyFill="1" applyBorder="1" applyAlignment="1" applyProtection="1">
      <alignment horizontal="left"/>
      <protection locked="0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7" fillId="0" borderId="13" xfId="0" applyNumberFormat="1" applyFont="1" applyFill="1" applyBorder="1" applyAlignment="1" applyProtection="1">
      <alignment horizontal="left" vertical="center" wrapText="1"/>
    </xf>
    <xf numFmtId="168" fontId="27" fillId="0" borderId="13" xfId="0" applyNumberFormat="1" applyFont="1" applyFill="1" applyBorder="1" applyAlignment="1" applyProtection="1">
      <alignment horizontal="right" vertical="center" wrapText="1"/>
    </xf>
    <xf numFmtId="167" fontId="27" fillId="0" borderId="13" xfId="0" applyNumberFormat="1" applyFont="1" applyFill="1" applyBorder="1" applyAlignment="1" applyProtection="1">
      <alignment horizontal="right" vertical="center" wrapText="1"/>
    </xf>
    <xf numFmtId="167" fontId="25" fillId="0" borderId="13" xfId="0" applyNumberFormat="1" applyFont="1" applyFill="1" applyBorder="1" applyAlignment="1" applyProtection="1">
      <alignment horizontal="right" vertical="center" wrapText="1"/>
    </xf>
    <xf numFmtId="167" fontId="28" fillId="0" borderId="13" xfId="0" applyNumberFormat="1" applyFont="1" applyFill="1" applyBorder="1" applyAlignment="1" applyProtection="1">
      <alignment horizontal="right" vertical="center" wrapText="1"/>
    </xf>
    <xf numFmtId="0" fontId="28" fillId="3" borderId="13" xfId="0" applyNumberFormat="1" applyFont="1" applyFill="1" applyBorder="1" applyAlignment="1" applyProtection="1">
      <alignment horizontal="left" vertical="center" wrapText="1"/>
    </xf>
    <xf numFmtId="0" fontId="28" fillId="3" borderId="13" xfId="0" applyNumberFormat="1" applyFont="1" applyFill="1" applyBorder="1" applyAlignment="1" applyProtection="1">
      <alignment horizontal="right" vertical="center" wrapText="1"/>
    </xf>
    <xf numFmtId="0" fontId="3" fillId="0" borderId="6" xfId="0" applyFont="1" applyBorder="1" applyAlignment="1">
      <alignment vertical="center" wrapText="1"/>
    </xf>
    <xf numFmtId="0" fontId="3" fillId="0" borderId="20" xfId="0" applyFont="1" applyBorder="1" applyAlignment="1">
      <alignment horizontal="right" vertical="center" wrapText="1"/>
    </xf>
    <xf numFmtId="0" fontId="3" fillId="0" borderId="15" xfId="0" applyFont="1" applyBorder="1" applyAlignment="1">
      <alignment vertical="center" wrapText="1"/>
    </xf>
    <xf numFmtId="0" fontId="29" fillId="0" borderId="7" xfId="0" applyFont="1" applyBorder="1"/>
    <xf numFmtId="0" fontId="3" fillId="0" borderId="7" xfId="0" applyFont="1" applyBorder="1"/>
    <xf numFmtId="0" fontId="3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8" fillId="0" borderId="1" xfId="0" applyFont="1" applyBorder="1"/>
    <xf numFmtId="0" fontId="18" fillId="0" borderId="9" xfId="0" applyFont="1" applyBorder="1" applyAlignment="1">
      <alignment wrapText="1"/>
    </xf>
    <xf numFmtId="0" fontId="23" fillId="0" borderId="11" xfId="0" applyFont="1" applyFill="1" applyBorder="1" applyAlignment="1" applyProtection="1">
      <alignment horizontal="left"/>
      <protection locked="0"/>
    </xf>
    <xf numFmtId="0" fontId="23" fillId="0" borderId="11" xfId="0" applyFont="1" applyBorder="1"/>
    <xf numFmtId="164" fontId="7" fillId="0" borderId="2" xfId="0" applyNumberFormat="1" applyFont="1" applyBorder="1"/>
    <xf numFmtId="0" fontId="30" fillId="0" borderId="21" xfId="0" applyFont="1" applyFill="1" applyBorder="1" applyAlignment="1">
      <alignment horizontal="center" vertical="center" wrapText="1"/>
    </xf>
    <xf numFmtId="43" fontId="0" fillId="0" borderId="0" xfId="0" applyNumberFormat="1"/>
    <xf numFmtId="3" fontId="0" fillId="0" borderId="0" xfId="0" applyNumberFormat="1"/>
    <xf numFmtId="0" fontId="28" fillId="0" borderId="13" xfId="0" applyNumberFormat="1" applyFont="1" applyFill="1" applyBorder="1" applyAlignment="1" applyProtection="1">
      <alignment horizontal="left" vertical="center" wrapText="1"/>
    </xf>
    <xf numFmtId="0" fontId="26" fillId="0" borderId="0" xfId="0" applyNumberFormat="1" applyFont="1" applyFill="1" applyBorder="1" applyAlignment="1" applyProtection="1">
      <alignment horizontal="center" vertical="center" wrapText="1"/>
    </xf>
    <xf numFmtId="0" fontId="25" fillId="0" borderId="13" xfId="0" applyNumberFormat="1" applyFont="1" applyFill="1" applyBorder="1" applyAlignment="1" applyProtection="1">
      <alignment horizontal="left" vertic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4" fillId="0" borderId="0" xfId="0" applyNumberFormat="1" applyFont="1" applyFill="1" applyBorder="1" applyAlignment="1" applyProtection="1">
      <alignment horizontal="center" vertical="center" wrapText="1"/>
    </xf>
    <xf numFmtId="166" fontId="24" fillId="0" borderId="0" xfId="0" applyNumberFormat="1" applyFont="1" applyFill="1" applyBorder="1" applyAlignment="1" applyProtection="1">
      <alignment horizontal="center" vertical="center" wrapText="1"/>
    </xf>
    <xf numFmtId="164" fontId="3" fillId="0" borderId="7" xfId="1" applyFont="1" applyBorder="1"/>
    <xf numFmtId="0" fontId="3" fillId="0" borderId="7" xfId="0" applyFont="1" applyBorder="1" applyAlignment="1">
      <alignment vertical="top" wrapText="1"/>
    </xf>
    <xf numFmtId="0" fontId="31" fillId="0" borderId="1" xfId="0" applyFont="1" applyBorder="1"/>
    <xf numFmtId="0" fontId="31" fillId="0" borderId="9" xfId="0" applyFont="1" applyBorder="1" applyAlignment="1">
      <alignment wrapText="1"/>
    </xf>
  </cellXfs>
  <cellStyles count="4">
    <cellStyle name="Comma" xfId="1" builtinId="3"/>
    <cellStyle name="Comma 3" xfId="3"/>
    <cellStyle name="Normal" xfId="0" builtinId="0"/>
    <cellStyle name="Normal 2" xfId="2"/>
  </cellStyles>
  <dxfs count="3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885825</xdr:colOff>
      <xdr:row>7</xdr:row>
      <xdr:rowOff>0</xdr:rowOff>
    </xdr:to>
    <xdr:pic>
      <xdr:nvPicPr>
        <xdr:cNvPr id="4" name="Picture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19075" y="381000"/>
          <a:ext cx="885825" cy="990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1285875</xdr:colOff>
      <xdr:row>7</xdr:row>
      <xdr:rowOff>0</xdr:rowOff>
    </xdr:to>
    <xdr:pic>
      <xdr:nvPicPr>
        <xdr:cNvPr id="5" name="Picture"/>
        <xdr:cNvPicPr/>
      </xdr:nvPicPr>
      <xdr:blipFill>
        <a:blip xmlns:r="http://schemas.openxmlformats.org/officeDocument/2006/relationships" r:embed="rId2"/>
        <a:srcRect/>
        <a:stretch>
          <a:fillRect b="8750"/>
        </a:stretch>
      </xdr:blipFill>
      <xdr:spPr>
        <a:xfrm>
          <a:off x="9305925" y="381000"/>
          <a:ext cx="1285875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4"/>
  <sheetViews>
    <sheetView view="pageBreakPreview" zoomScale="60" workbookViewId="0">
      <selection activeCell="L39" sqref="L39"/>
    </sheetView>
  </sheetViews>
  <sheetFormatPr defaultRowHeight="15"/>
  <cols>
    <col min="1" max="1" width="8.28515625" customWidth="1"/>
    <col min="2" max="2" width="14" customWidth="1"/>
    <col min="3" max="3" width="34.140625" customWidth="1"/>
    <col min="4" max="4" width="16.42578125" customWidth="1"/>
    <col min="5" max="5" width="13.140625" customWidth="1"/>
    <col min="6" max="6" width="13.85546875" customWidth="1"/>
    <col min="7" max="7" width="20.140625" customWidth="1"/>
    <col min="8" max="8" width="16" customWidth="1"/>
    <col min="9" max="9" width="9.140625" customWidth="1"/>
    <col min="10" max="10" width="12.42578125" customWidth="1"/>
    <col min="11" max="11" width="26.5703125" customWidth="1"/>
    <col min="12" max="12" width="11" customWidth="1"/>
  </cols>
  <sheetData>
    <row r="1" spans="1:12" ht="15.75">
      <c r="A1" s="1"/>
    </row>
    <row r="2" spans="1:12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</row>
    <row r="3" spans="1:12">
      <c r="A3" s="88"/>
      <c r="B3" s="114"/>
      <c r="C3" s="115" t="s">
        <v>299</v>
      </c>
      <c r="D3" s="115"/>
      <c r="E3" s="115"/>
      <c r="F3" s="115"/>
      <c r="G3" s="115"/>
      <c r="H3" s="115"/>
      <c r="I3" s="115"/>
      <c r="J3" s="115"/>
      <c r="K3" s="114"/>
    </row>
    <row r="4" spans="1:12" ht="15.75">
      <c r="A4" s="88"/>
      <c r="B4" s="114"/>
      <c r="C4" s="115" t="s">
        <v>468</v>
      </c>
      <c r="D4" s="115"/>
      <c r="E4" s="115"/>
      <c r="F4" s="115"/>
      <c r="G4" s="115"/>
      <c r="H4" s="115"/>
      <c r="I4" s="115"/>
      <c r="J4" s="115"/>
      <c r="K4" s="114"/>
      <c r="L4" s="62"/>
    </row>
    <row r="5" spans="1:12" ht="15.75" customHeight="1">
      <c r="A5" s="88"/>
      <c r="B5" s="114"/>
      <c r="C5" s="115" t="s">
        <v>64</v>
      </c>
      <c r="D5" s="115"/>
      <c r="E5" s="115"/>
      <c r="F5" s="115"/>
      <c r="G5" s="115"/>
      <c r="H5" s="115"/>
      <c r="I5" s="115"/>
      <c r="J5" s="115"/>
      <c r="K5" s="114"/>
      <c r="L5" s="62"/>
    </row>
    <row r="6" spans="1:12" ht="15.75">
      <c r="A6" s="88"/>
      <c r="B6" s="114"/>
      <c r="C6" s="116">
        <v>45838</v>
      </c>
      <c r="D6" s="116"/>
      <c r="E6" s="116"/>
      <c r="F6" s="116"/>
      <c r="G6" s="116"/>
      <c r="H6" s="116"/>
      <c r="I6" s="116"/>
      <c r="J6" s="116"/>
      <c r="K6" s="114"/>
      <c r="L6" s="62"/>
    </row>
    <row r="7" spans="1:12" ht="15.75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62"/>
    </row>
    <row r="8" spans="1:12" ht="15.75">
      <c r="A8" s="88"/>
      <c r="B8" s="112" t="s">
        <v>300</v>
      </c>
      <c r="C8" s="112"/>
      <c r="D8" s="112"/>
      <c r="E8" s="112"/>
      <c r="F8" s="112"/>
      <c r="G8" s="112"/>
      <c r="H8" s="112"/>
      <c r="I8" s="112"/>
      <c r="J8" s="112"/>
      <c r="K8" s="112"/>
      <c r="L8" s="62"/>
    </row>
    <row r="9" spans="1:12" ht="47.25">
      <c r="A9" s="88"/>
      <c r="B9" s="63" t="s">
        <v>301</v>
      </c>
      <c r="C9" s="63" t="s">
        <v>302</v>
      </c>
      <c r="D9" s="63" t="s">
        <v>303</v>
      </c>
      <c r="E9" s="64" t="s">
        <v>304</v>
      </c>
      <c r="F9" s="64" t="s">
        <v>469</v>
      </c>
      <c r="G9" s="64" t="s">
        <v>470</v>
      </c>
      <c r="H9" s="64" t="s">
        <v>471</v>
      </c>
      <c r="I9" s="64" t="s">
        <v>472</v>
      </c>
      <c r="J9" s="64" t="s">
        <v>473</v>
      </c>
      <c r="K9" s="64" t="s">
        <v>305</v>
      </c>
      <c r="L9" s="65" t="s">
        <v>306</v>
      </c>
    </row>
    <row r="10" spans="1:12" ht="19.5" thickBot="1">
      <c r="A10" s="88"/>
      <c r="B10" s="89" t="s">
        <v>307</v>
      </c>
      <c r="C10" s="89" t="s">
        <v>308</v>
      </c>
      <c r="D10" s="89" t="s">
        <v>44</v>
      </c>
      <c r="E10" s="90">
        <v>0</v>
      </c>
      <c r="F10" s="90">
        <v>0</v>
      </c>
      <c r="G10" s="90">
        <v>0</v>
      </c>
      <c r="H10" s="90">
        <v>0</v>
      </c>
      <c r="I10" s="90">
        <v>0</v>
      </c>
      <c r="J10" s="91">
        <v>371012.77</v>
      </c>
      <c r="K10" s="91">
        <v>0</v>
      </c>
      <c r="L10" s="46" t="s">
        <v>57</v>
      </c>
    </row>
    <row r="11" spans="1:12" ht="19.5" thickBot="1">
      <c r="A11" s="88"/>
      <c r="B11" s="89" t="s">
        <v>309</v>
      </c>
      <c r="C11" s="89" t="s">
        <v>474</v>
      </c>
      <c r="D11" s="89" t="s">
        <v>44</v>
      </c>
      <c r="E11" s="90">
        <v>29</v>
      </c>
      <c r="F11" s="90">
        <v>29</v>
      </c>
      <c r="G11" s="90">
        <v>29</v>
      </c>
      <c r="H11" s="90">
        <v>0</v>
      </c>
      <c r="I11" s="90">
        <v>0</v>
      </c>
      <c r="J11" s="91">
        <v>319494.46999999997</v>
      </c>
      <c r="K11" s="91">
        <v>9265339.629999999</v>
      </c>
      <c r="L11" s="46" t="s">
        <v>57</v>
      </c>
    </row>
    <row r="12" spans="1:12" ht="19.5" thickBot="1">
      <c r="A12" s="88"/>
      <c r="B12" s="89" t="s">
        <v>310</v>
      </c>
      <c r="C12" s="89" t="s">
        <v>311</v>
      </c>
      <c r="D12" s="89" t="s">
        <v>44</v>
      </c>
      <c r="E12" s="90">
        <v>1</v>
      </c>
      <c r="F12" s="90">
        <v>1</v>
      </c>
      <c r="G12" s="90">
        <v>1</v>
      </c>
      <c r="H12" s="90">
        <v>0</v>
      </c>
      <c r="I12" s="90">
        <v>0</v>
      </c>
      <c r="J12" s="91">
        <v>333353</v>
      </c>
      <c r="K12" s="91">
        <v>333353</v>
      </c>
      <c r="L12" s="46" t="s">
        <v>57</v>
      </c>
    </row>
    <row r="13" spans="1:12" ht="19.5" thickBot="1">
      <c r="A13" s="88"/>
      <c r="B13" s="89" t="s">
        <v>312</v>
      </c>
      <c r="C13" s="89" t="s">
        <v>313</v>
      </c>
      <c r="D13" s="89" t="s">
        <v>44</v>
      </c>
      <c r="E13" s="90">
        <v>31</v>
      </c>
      <c r="F13" s="90">
        <v>31</v>
      </c>
      <c r="G13" s="90">
        <v>31</v>
      </c>
      <c r="H13" s="90">
        <v>0</v>
      </c>
      <c r="I13" s="90">
        <v>0</v>
      </c>
      <c r="J13" s="91">
        <v>299137.23</v>
      </c>
      <c r="K13" s="91">
        <v>9273254.129999999</v>
      </c>
      <c r="L13" s="46" t="s">
        <v>57</v>
      </c>
    </row>
    <row r="14" spans="1:12" ht="19.5" thickBot="1">
      <c r="A14" s="88"/>
      <c r="B14" s="89" t="s">
        <v>314</v>
      </c>
      <c r="C14" s="89" t="s">
        <v>315</v>
      </c>
      <c r="D14" s="89" t="s">
        <v>44</v>
      </c>
      <c r="E14" s="90">
        <v>20</v>
      </c>
      <c r="F14" s="90">
        <v>20</v>
      </c>
      <c r="G14" s="90">
        <v>20</v>
      </c>
      <c r="H14" s="90">
        <v>0</v>
      </c>
      <c r="I14" s="90">
        <v>0</v>
      </c>
      <c r="J14" s="91">
        <v>288011.06</v>
      </c>
      <c r="K14" s="91">
        <v>5760221.2000000002</v>
      </c>
      <c r="L14" s="46" t="s">
        <v>57</v>
      </c>
    </row>
    <row r="15" spans="1:12" ht="19.5" thickBot="1">
      <c r="A15" s="88"/>
      <c r="B15" s="89" t="s">
        <v>316</v>
      </c>
      <c r="C15" s="89" t="s">
        <v>317</v>
      </c>
      <c r="D15" s="89" t="s">
        <v>44</v>
      </c>
      <c r="E15" s="90">
        <v>40</v>
      </c>
      <c r="F15" s="90">
        <v>40</v>
      </c>
      <c r="G15" s="90">
        <v>40</v>
      </c>
      <c r="H15" s="90">
        <v>0</v>
      </c>
      <c r="I15" s="90">
        <v>0</v>
      </c>
      <c r="J15" s="91">
        <v>149104.79999999999</v>
      </c>
      <c r="K15" s="91">
        <v>5964192</v>
      </c>
      <c r="L15" s="46" t="s">
        <v>57</v>
      </c>
    </row>
    <row r="16" spans="1:12" ht="19.5" thickBot="1">
      <c r="A16" s="88"/>
      <c r="B16" s="111" t="s">
        <v>318</v>
      </c>
      <c r="C16" s="111"/>
      <c r="D16" s="111"/>
      <c r="E16" s="111"/>
      <c r="F16" s="111"/>
      <c r="G16" s="111"/>
      <c r="H16" s="111"/>
      <c r="I16" s="111"/>
      <c r="J16" s="111"/>
      <c r="K16" s="92">
        <v>30596359.959999997</v>
      </c>
      <c r="L16" s="46" t="s">
        <v>57</v>
      </c>
    </row>
    <row r="17" spans="1:12" ht="19.5" thickBot="1">
      <c r="A17" s="88"/>
      <c r="B17" s="112" t="s">
        <v>319</v>
      </c>
      <c r="C17" s="112"/>
      <c r="D17" s="112"/>
      <c r="E17" s="112"/>
      <c r="F17" s="112"/>
      <c r="G17" s="112"/>
      <c r="H17" s="112"/>
      <c r="I17" s="112"/>
      <c r="J17" s="112"/>
      <c r="K17" s="112"/>
      <c r="L17" s="46"/>
    </row>
    <row r="18" spans="1:12" ht="47.25">
      <c r="A18" s="88"/>
      <c r="B18" s="63" t="s">
        <v>301</v>
      </c>
      <c r="C18" s="63" t="s">
        <v>302</v>
      </c>
      <c r="D18" s="63" t="s">
        <v>303</v>
      </c>
      <c r="E18" s="64" t="s">
        <v>304</v>
      </c>
      <c r="F18" s="64" t="s">
        <v>469</v>
      </c>
      <c r="G18" s="64" t="s">
        <v>470</v>
      </c>
      <c r="H18" s="64" t="s">
        <v>471</v>
      </c>
      <c r="I18" s="64" t="s">
        <v>472</v>
      </c>
      <c r="J18" s="64" t="s">
        <v>473</v>
      </c>
      <c r="K18" s="64" t="s">
        <v>305</v>
      </c>
      <c r="L18" s="62"/>
    </row>
    <row r="19" spans="1:12" ht="19.5" thickBot="1">
      <c r="A19" s="88"/>
      <c r="B19" s="89" t="s">
        <v>58</v>
      </c>
      <c r="C19" s="89" t="s">
        <v>320</v>
      </c>
      <c r="D19" s="89" t="s">
        <v>44</v>
      </c>
      <c r="E19" s="90">
        <v>62</v>
      </c>
      <c r="F19" s="90">
        <v>62</v>
      </c>
      <c r="G19" s="90">
        <v>62</v>
      </c>
      <c r="H19" s="90">
        <v>0</v>
      </c>
      <c r="I19" s="90">
        <v>0</v>
      </c>
      <c r="J19" s="91">
        <v>3300</v>
      </c>
      <c r="K19" s="91">
        <v>204600</v>
      </c>
      <c r="L19" s="46" t="s">
        <v>57</v>
      </c>
    </row>
    <row r="20" spans="1:12" ht="19.5" thickBot="1">
      <c r="A20" s="88"/>
      <c r="B20" s="89" t="s">
        <v>59</v>
      </c>
      <c r="C20" s="89" t="s">
        <v>321</v>
      </c>
      <c r="D20" s="89" t="s">
        <v>322</v>
      </c>
      <c r="E20" s="90">
        <v>4</v>
      </c>
      <c r="F20" s="90">
        <v>4</v>
      </c>
      <c r="G20" s="90">
        <v>4</v>
      </c>
      <c r="H20" s="90">
        <v>0</v>
      </c>
      <c r="I20" s="90">
        <v>0</v>
      </c>
      <c r="J20" s="91">
        <v>7600</v>
      </c>
      <c r="K20" s="91">
        <v>30400</v>
      </c>
      <c r="L20" s="46" t="s">
        <v>57</v>
      </c>
    </row>
    <row r="21" spans="1:12" ht="19.5" thickBot="1">
      <c r="A21" s="88"/>
      <c r="B21" s="89" t="s">
        <v>323</v>
      </c>
      <c r="C21" s="89" t="s">
        <v>324</v>
      </c>
      <c r="D21" s="89" t="s">
        <v>44</v>
      </c>
      <c r="E21" s="90">
        <v>5</v>
      </c>
      <c r="F21" s="90">
        <v>5</v>
      </c>
      <c r="G21" s="90">
        <v>5</v>
      </c>
      <c r="H21" s="90">
        <v>0</v>
      </c>
      <c r="I21" s="90">
        <v>0</v>
      </c>
      <c r="J21" s="91">
        <v>145800</v>
      </c>
      <c r="K21" s="91">
        <v>729000</v>
      </c>
      <c r="L21" s="46" t="s">
        <v>57</v>
      </c>
    </row>
    <row r="22" spans="1:12" ht="19.5" thickBot="1">
      <c r="A22" s="88"/>
      <c r="B22" s="89" t="s">
        <v>325</v>
      </c>
      <c r="C22" s="89" t="s">
        <v>326</v>
      </c>
      <c r="D22" s="89" t="s">
        <v>44</v>
      </c>
      <c r="E22" s="90">
        <v>32</v>
      </c>
      <c r="F22" s="90">
        <v>32</v>
      </c>
      <c r="G22" s="90">
        <v>32</v>
      </c>
      <c r="H22" s="90">
        <v>0</v>
      </c>
      <c r="I22" s="90">
        <v>0</v>
      </c>
      <c r="J22" s="91">
        <v>2400</v>
      </c>
      <c r="K22" s="91">
        <v>76800</v>
      </c>
      <c r="L22" s="46" t="s">
        <v>57</v>
      </c>
    </row>
    <row r="23" spans="1:12" ht="19.5" thickBot="1">
      <c r="A23" s="88"/>
      <c r="B23" s="89" t="s">
        <v>327</v>
      </c>
      <c r="C23" s="89" t="s">
        <v>328</v>
      </c>
      <c r="D23" s="89" t="s">
        <v>44</v>
      </c>
      <c r="E23" s="90">
        <v>191</v>
      </c>
      <c r="F23" s="90">
        <v>191</v>
      </c>
      <c r="G23" s="90">
        <v>191</v>
      </c>
      <c r="H23" s="90">
        <v>0</v>
      </c>
      <c r="I23" s="90">
        <v>0</v>
      </c>
      <c r="J23" s="91">
        <v>2900</v>
      </c>
      <c r="K23" s="91">
        <v>553900</v>
      </c>
      <c r="L23" s="46" t="s">
        <v>57</v>
      </c>
    </row>
    <row r="24" spans="1:12" ht="19.5" thickBot="1">
      <c r="A24" s="88"/>
      <c r="B24" s="89" t="s">
        <v>329</v>
      </c>
      <c r="C24" s="89" t="s">
        <v>330</v>
      </c>
      <c r="D24" s="89" t="s">
        <v>44</v>
      </c>
      <c r="E24" s="90">
        <v>515</v>
      </c>
      <c r="F24" s="90">
        <v>515</v>
      </c>
      <c r="G24" s="90">
        <v>515</v>
      </c>
      <c r="H24" s="90">
        <v>0</v>
      </c>
      <c r="I24" s="90">
        <v>0</v>
      </c>
      <c r="J24" s="91">
        <v>10100</v>
      </c>
      <c r="K24" s="91">
        <v>5201500</v>
      </c>
      <c r="L24" s="46" t="s">
        <v>57</v>
      </c>
    </row>
    <row r="25" spans="1:12" ht="19.5" thickBot="1">
      <c r="A25" s="88"/>
      <c r="B25" s="89" t="s">
        <v>331</v>
      </c>
      <c r="C25" s="89" t="s">
        <v>332</v>
      </c>
      <c r="D25" s="89" t="s">
        <v>44</v>
      </c>
      <c r="E25" s="90">
        <v>46</v>
      </c>
      <c r="F25" s="90">
        <v>46</v>
      </c>
      <c r="G25" s="90">
        <v>46</v>
      </c>
      <c r="H25" s="90">
        <v>0</v>
      </c>
      <c r="I25" s="90">
        <v>0</v>
      </c>
      <c r="J25" s="91">
        <v>74214.289999999994</v>
      </c>
      <c r="K25" s="91">
        <v>3413857.34</v>
      </c>
      <c r="L25" s="46" t="s">
        <v>57</v>
      </c>
    </row>
    <row r="26" spans="1:12" ht="19.5" thickBot="1">
      <c r="A26" s="88"/>
      <c r="B26" s="89" t="s">
        <v>475</v>
      </c>
      <c r="C26" s="89" t="s">
        <v>476</v>
      </c>
      <c r="D26" s="89" t="s">
        <v>44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1">
        <v>103900</v>
      </c>
      <c r="K26" s="91">
        <v>0</v>
      </c>
      <c r="L26" s="46" t="s">
        <v>57</v>
      </c>
    </row>
    <row r="27" spans="1:12" ht="19.5" thickBot="1">
      <c r="A27" s="88"/>
      <c r="B27" s="89" t="s">
        <v>333</v>
      </c>
      <c r="C27" s="89" t="s">
        <v>334</v>
      </c>
      <c r="D27" s="89" t="s">
        <v>44</v>
      </c>
      <c r="E27" s="90">
        <v>4</v>
      </c>
      <c r="F27" s="90">
        <v>4</v>
      </c>
      <c r="G27" s="90">
        <v>4</v>
      </c>
      <c r="H27" s="90">
        <v>0</v>
      </c>
      <c r="I27" s="90">
        <v>0</v>
      </c>
      <c r="J27" s="91">
        <v>21240</v>
      </c>
      <c r="K27" s="91">
        <v>84960</v>
      </c>
      <c r="L27" s="46" t="s">
        <v>57</v>
      </c>
    </row>
    <row r="28" spans="1:12" ht="19.5" thickBot="1">
      <c r="A28" s="88"/>
      <c r="B28" s="89" t="s">
        <v>335</v>
      </c>
      <c r="C28" s="89" t="s">
        <v>336</v>
      </c>
      <c r="D28" s="89" t="s">
        <v>44</v>
      </c>
      <c r="E28" s="90">
        <v>62</v>
      </c>
      <c r="F28" s="90">
        <v>62</v>
      </c>
      <c r="G28" s="90">
        <v>62</v>
      </c>
      <c r="H28" s="90">
        <v>0</v>
      </c>
      <c r="I28" s="90">
        <v>0</v>
      </c>
      <c r="J28" s="91">
        <v>21240</v>
      </c>
      <c r="K28" s="91">
        <v>1316880</v>
      </c>
      <c r="L28" s="46" t="s">
        <v>57</v>
      </c>
    </row>
    <row r="29" spans="1:12" ht="19.5" thickBot="1">
      <c r="A29" s="88"/>
      <c r="B29" s="111" t="s">
        <v>318</v>
      </c>
      <c r="C29" s="111"/>
      <c r="D29" s="111"/>
      <c r="E29" s="111"/>
      <c r="F29" s="111"/>
      <c r="G29" s="111"/>
      <c r="H29" s="111"/>
      <c r="I29" s="111"/>
      <c r="J29" s="111"/>
      <c r="K29" s="92">
        <v>11611897.34</v>
      </c>
      <c r="L29" s="46"/>
    </row>
    <row r="30" spans="1:12" ht="15.75">
      <c r="A30" s="88"/>
      <c r="B30" s="112" t="s">
        <v>477</v>
      </c>
      <c r="C30" s="112"/>
      <c r="D30" s="112"/>
      <c r="E30" s="112"/>
      <c r="F30" s="112"/>
      <c r="G30" s="112"/>
      <c r="H30" s="112"/>
      <c r="I30" s="112"/>
      <c r="J30" s="112"/>
      <c r="K30" s="112"/>
      <c r="L30" s="62"/>
    </row>
    <row r="31" spans="1:12" ht="47.25">
      <c r="A31" s="88"/>
      <c r="B31" s="63" t="s">
        <v>301</v>
      </c>
      <c r="C31" s="63" t="s">
        <v>302</v>
      </c>
      <c r="D31" s="63" t="s">
        <v>303</v>
      </c>
      <c r="E31" s="64" t="s">
        <v>304</v>
      </c>
      <c r="F31" s="64" t="s">
        <v>469</v>
      </c>
      <c r="G31" s="64" t="s">
        <v>470</v>
      </c>
      <c r="H31" s="64" t="s">
        <v>471</v>
      </c>
      <c r="I31" s="64" t="s">
        <v>472</v>
      </c>
      <c r="J31" s="64" t="s">
        <v>473</v>
      </c>
      <c r="K31" s="64" t="s">
        <v>305</v>
      </c>
      <c r="L31" s="65" t="s">
        <v>306</v>
      </c>
    </row>
    <row r="32" spans="1:12" ht="15.75">
      <c r="A32" s="88"/>
      <c r="B32" s="89" t="s">
        <v>478</v>
      </c>
      <c r="C32" s="89" t="s">
        <v>479</v>
      </c>
      <c r="D32" s="89" t="s">
        <v>44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1">
        <v>8260</v>
      </c>
      <c r="K32" s="91">
        <v>0</v>
      </c>
      <c r="L32" s="62"/>
    </row>
    <row r="33" spans="1:12" ht="19.5" thickBot="1">
      <c r="A33" s="88"/>
      <c r="B33" s="111" t="s">
        <v>318</v>
      </c>
      <c r="C33" s="111"/>
      <c r="D33" s="111"/>
      <c r="E33" s="111"/>
      <c r="F33" s="111"/>
      <c r="G33" s="111"/>
      <c r="H33" s="111"/>
      <c r="I33" s="111"/>
      <c r="J33" s="111"/>
      <c r="K33" s="93">
        <v>0</v>
      </c>
      <c r="L33" s="46"/>
    </row>
    <row r="34" spans="1:12" ht="15.75">
      <c r="A34" s="88"/>
      <c r="B34" s="112" t="s">
        <v>337</v>
      </c>
      <c r="C34" s="112"/>
      <c r="D34" s="112"/>
      <c r="E34" s="112"/>
      <c r="F34" s="112"/>
      <c r="G34" s="112"/>
      <c r="H34" s="112"/>
      <c r="I34" s="112"/>
      <c r="J34" s="112"/>
      <c r="K34" s="112"/>
      <c r="L34" s="62"/>
    </row>
    <row r="35" spans="1:12" ht="38.25">
      <c r="A35" s="88"/>
      <c r="B35" s="94" t="s">
        <v>301</v>
      </c>
      <c r="C35" s="94" t="s">
        <v>302</v>
      </c>
      <c r="D35" s="94" t="s">
        <v>303</v>
      </c>
      <c r="E35" s="95" t="s">
        <v>304</v>
      </c>
      <c r="F35" s="95" t="s">
        <v>469</v>
      </c>
      <c r="G35" s="95" t="s">
        <v>470</v>
      </c>
      <c r="H35" s="95" t="s">
        <v>471</v>
      </c>
      <c r="I35" s="95" t="s">
        <v>472</v>
      </c>
      <c r="J35" s="95" t="s">
        <v>473</v>
      </c>
      <c r="K35" s="95" t="s">
        <v>305</v>
      </c>
      <c r="L35" s="65" t="s">
        <v>306</v>
      </c>
    </row>
    <row r="36" spans="1:12" ht="19.5" thickBot="1">
      <c r="A36" s="88"/>
      <c r="B36" s="89" t="s">
        <v>338</v>
      </c>
      <c r="C36" s="89" t="s">
        <v>339</v>
      </c>
      <c r="D36" s="89" t="s">
        <v>340</v>
      </c>
      <c r="E36" s="90">
        <v>20170</v>
      </c>
      <c r="F36" s="90">
        <v>20170</v>
      </c>
      <c r="G36" s="90">
        <v>15982</v>
      </c>
      <c r="H36" s="90"/>
      <c r="I36" s="90">
        <f>F36-G36</f>
        <v>4188</v>
      </c>
      <c r="J36" s="91">
        <v>2736.14</v>
      </c>
      <c r="K36" s="91">
        <f>J36*G36</f>
        <v>43728989.479999997</v>
      </c>
      <c r="L36" s="46" t="s">
        <v>57</v>
      </c>
    </row>
    <row r="37" spans="1:12" ht="19.5" thickBot="1">
      <c r="A37" s="88"/>
      <c r="B37" s="111" t="s">
        <v>318</v>
      </c>
      <c r="C37" s="111"/>
      <c r="D37" s="111"/>
      <c r="E37" s="111"/>
      <c r="F37" s="111"/>
      <c r="G37" s="111"/>
      <c r="H37" s="111"/>
      <c r="I37" s="111"/>
      <c r="J37" s="111"/>
      <c r="K37" s="92">
        <f>K36</f>
        <v>43728989.479999997</v>
      </c>
      <c r="L37" s="46"/>
    </row>
    <row r="38" spans="1:12" ht="19.5" thickBot="1">
      <c r="A38" s="88"/>
      <c r="B38" s="112" t="s">
        <v>341</v>
      </c>
      <c r="C38" s="112"/>
      <c r="D38" s="112"/>
      <c r="E38" s="112"/>
      <c r="F38" s="112"/>
      <c r="G38" s="112"/>
      <c r="H38" s="112"/>
      <c r="I38" s="112"/>
      <c r="J38" s="112"/>
      <c r="K38" s="112"/>
      <c r="L38" s="46"/>
    </row>
    <row r="39" spans="1:12" ht="47.25">
      <c r="A39" s="88"/>
      <c r="B39" s="63" t="s">
        <v>301</v>
      </c>
      <c r="C39" s="63" t="s">
        <v>302</v>
      </c>
      <c r="D39" s="63" t="s">
        <v>303</v>
      </c>
      <c r="E39" s="64" t="s">
        <v>304</v>
      </c>
      <c r="F39" s="64" t="s">
        <v>469</v>
      </c>
      <c r="G39" s="64" t="s">
        <v>470</v>
      </c>
      <c r="H39" s="64" t="s">
        <v>471</v>
      </c>
      <c r="I39" s="64" t="s">
        <v>472</v>
      </c>
      <c r="J39" s="64" t="s">
        <v>473</v>
      </c>
      <c r="K39" s="64" t="s">
        <v>305</v>
      </c>
      <c r="L39" s="65" t="s">
        <v>306</v>
      </c>
    </row>
    <row r="40" spans="1:12" ht="19.5" thickBot="1">
      <c r="A40" s="88"/>
      <c r="B40" s="89" t="s">
        <v>342</v>
      </c>
      <c r="C40" s="89" t="s">
        <v>343</v>
      </c>
      <c r="D40" s="89" t="s">
        <v>344</v>
      </c>
      <c r="E40" s="90">
        <v>337</v>
      </c>
      <c r="F40" s="90">
        <v>337</v>
      </c>
      <c r="G40" s="90">
        <v>337</v>
      </c>
      <c r="H40" s="90">
        <v>0</v>
      </c>
      <c r="I40" s="90">
        <v>0</v>
      </c>
      <c r="J40" s="91">
        <v>880</v>
      </c>
      <c r="K40" s="91">
        <v>296560</v>
      </c>
      <c r="L40" s="46" t="s">
        <v>57</v>
      </c>
    </row>
    <row r="41" spans="1:12" ht="19.5" thickBot="1">
      <c r="A41" s="88"/>
      <c r="B41" s="89" t="s">
        <v>345</v>
      </c>
      <c r="C41" s="89" t="s">
        <v>346</v>
      </c>
      <c r="D41" s="89" t="s">
        <v>44</v>
      </c>
      <c r="E41" s="90">
        <v>0</v>
      </c>
      <c r="F41" s="90">
        <v>0</v>
      </c>
      <c r="G41" s="90">
        <v>0</v>
      </c>
      <c r="H41" s="90">
        <v>0</v>
      </c>
      <c r="I41" s="90">
        <v>0</v>
      </c>
      <c r="J41" s="91">
        <v>9000</v>
      </c>
      <c r="K41" s="91">
        <v>0</v>
      </c>
      <c r="L41" s="46" t="s">
        <v>57</v>
      </c>
    </row>
    <row r="42" spans="1:12" ht="19.5" thickBot="1">
      <c r="A42" s="88"/>
      <c r="B42" s="89" t="s">
        <v>480</v>
      </c>
      <c r="C42" s="89" t="s">
        <v>481</v>
      </c>
      <c r="D42" s="89" t="s">
        <v>44</v>
      </c>
      <c r="E42" s="90">
        <v>250</v>
      </c>
      <c r="F42" s="90">
        <v>250</v>
      </c>
      <c r="G42" s="90">
        <v>250</v>
      </c>
      <c r="H42" s="90">
        <v>0</v>
      </c>
      <c r="I42" s="90">
        <v>0</v>
      </c>
      <c r="J42" s="91">
        <v>350</v>
      </c>
      <c r="K42" s="91">
        <v>87500</v>
      </c>
      <c r="L42" s="46" t="s">
        <v>57</v>
      </c>
    </row>
    <row r="43" spans="1:12" ht="19.5" thickBot="1">
      <c r="A43" s="88"/>
      <c r="B43" s="89" t="s">
        <v>347</v>
      </c>
      <c r="C43" s="89" t="s">
        <v>348</v>
      </c>
      <c r="D43" s="89" t="s">
        <v>44</v>
      </c>
      <c r="E43" s="90">
        <v>180</v>
      </c>
      <c r="F43" s="90">
        <v>180</v>
      </c>
      <c r="G43" s="90">
        <v>180</v>
      </c>
      <c r="H43" s="90">
        <v>0</v>
      </c>
      <c r="I43" s="90">
        <v>0</v>
      </c>
      <c r="J43" s="91">
        <v>500</v>
      </c>
      <c r="K43" s="91">
        <v>90000</v>
      </c>
      <c r="L43" s="46" t="s">
        <v>57</v>
      </c>
    </row>
    <row r="44" spans="1:12" ht="19.5" thickBot="1">
      <c r="A44" s="88"/>
      <c r="B44" s="89" t="s">
        <v>349</v>
      </c>
      <c r="C44" s="89" t="s">
        <v>350</v>
      </c>
      <c r="D44" s="89" t="s">
        <v>44</v>
      </c>
      <c r="E44" s="90">
        <v>525</v>
      </c>
      <c r="F44" s="90">
        <v>525</v>
      </c>
      <c r="G44" s="90">
        <v>525</v>
      </c>
      <c r="H44" s="90">
        <v>0</v>
      </c>
      <c r="I44" s="90">
        <v>0</v>
      </c>
      <c r="J44" s="91">
        <v>1640</v>
      </c>
      <c r="K44" s="91">
        <v>861000</v>
      </c>
      <c r="L44" s="46" t="s">
        <v>57</v>
      </c>
    </row>
    <row r="45" spans="1:12" ht="19.5" thickBot="1">
      <c r="A45" s="88"/>
      <c r="B45" s="89" t="s">
        <v>351</v>
      </c>
      <c r="C45" s="89" t="s">
        <v>352</v>
      </c>
      <c r="D45" s="89" t="s">
        <v>44</v>
      </c>
      <c r="E45" s="90">
        <v>272</v>
      </c>
      <c r="F45" s="90">
        <v>272</v>
      </c>
      <c r="G45" s="90">
        <v>272</v>
      </c>
      <c r="H45" s="90">
        <v>0</v>
      </c>
      <c r="I45" s="90">
        <v>0</v>
      </c>
      <c r="J45" s="91">
        <v>2380</v>
      </c>
      <c r="K45" s="91">
        <v>647360</v>
      </c>
      <c r="L45" s="46" t="s">
        <v>57</v>
      </c>
    </row>
    <row r="46" spans="1:12" ht="19.5" thickBot="1">
      <c r="A46" s="88"/>
      <c r="B46" s="89" t="s">
        <v>353</v>
      </c>
      <c r="C46" s="89" t="s">
        <v>354</v>
      </c>
      <c r="D46" s="89" t="s">
        <v>44</v>
      </c>
      <c r="E46" s="90">
        <v>54</v>
      </c>
      <c r="F46" s="90">
        <v>54</v>
      </c>
      <c r="G46" s="90">
        <v>54</v>
      </c>
      <c r="H46" s="90">
        <v>0</v>
      </c>
      <c r="I46" s="90">
        <v>0</v>
      </c>
      <c r="J46" s="91">
        <v>2900</v>
      </c>
      <c r="K46" s="91">
        <v>156600</v>
      </c>
      <c r="L46" s="46" t="s">
        <v>57</v>
      </c>
    </row>
    <row r="47" spans="1:12" ht="19.5" thickBot="1">
      <c r="A47" s="88"/>
      <c r="B47" s="89" t="s">
        <v>355</v>
      </c>
      <c r="C47" s="89" t="s">
        <v>356</v>
      </c>
      <c r="D47" s="89" t="s">
        <v>44</v>
      </c>
      <c r="E47" s="90">
        <v>306</v>
      </c>
      <c r="F47" s="90">
        <v>306</v>
      </c>
      <c r="G47" s="90">
        <v>306</v>
      </c>
      <c r="H47" s="90">
        <v>0</v>
      </c>
      <c r="I47" s="90">
        <v>0</v>
      </c>
      <c r="J47" s="91">
        <v>680</v>
      </c>
      <c r="K47" s="91">
        <v>208080</v>
      </c>
      <c r="L47" s="46" t="s">
        <v>57</v>
      </c>
    </row>
    <row r="48" spans="1:12" ht="19.5" thickBot="1">
      <c r="A48" s="88"/>
      <c r="B48" s="89" t="s">
        <v>482</v>
      </c>
      <c r="C48" s="89" t="s">
        <v>483</v>
      </c>
      <c r="D48" s="89" t="s">
        <v>44</v>
      </c>
      <c r="E48" s="90">
        <v>0</v>
      </c>
      <c r="F48" s="90">
        <v>0</v>
      </c>
      <c r="G48" s="90">
        <v>0</v>
      </c>
      <c r="H48" s="90">
        <v>0</v>
      </c>
      <c r="I48" s="90">
        <v>0</v>
      </c>
      <c r="J48" s="91">
        <v>1200</v>
      </c>
      <c r="K48" s="91">
        <v>0</v>
      </c>
      <c r="L48" s="46" t="s">
        <v>57</v>
      </c>
    </row>
    <row r="49" spans="1:12" ht="19.5" thickBot="1">
      <c r="A49" s="88"/>
      <c r="B49" s="89" t="s">
        <v>357</v>
      </c>
      <c r="C49" s="89" t="s">
        <v>358</v>
      </c>
      <c r="D49" s="89" t="s">
        <v>56</v>
      </c>
      <c r="E49" s="90">
        <v>806</v>
      </c>
      <c r="F49" s="90">
        <v>806</v>
      </c>
      <c r="G49" s="90">
        <v>806</v>
      </c>
      <c r="H49" s="90">
        <v>0</v>
      </c>
      <c r="I49" s="90">
        <v>0</v>
      </c>
      <c r="J49" s="91">
        <v>560</v>
      </c>
      <c r="K49" s="91">
        <v>451360</v>
      </c>
      <c r="L49" s="46" t="s">
        <v>57</v>
      </c>
    </row>
    <row r="50" spans="1:12" ht="19.5" thickBot="1">
      <c r="A50" s="88"/>
      <c r="B50" s="89" t="s">
        <v>359</v>
      </c>
      <c r="C50" s="89" t="s">
        <v>360</v>
      </c>
      <c r="D50" s="89" t="s">
        <v>56</v>
      </c>
      <c r="E50" s="90">
        <v>0</v>
      </c>
      <c r="F50" s="90">
        <v>0</v>
      </c>
      <c r="G50" s="90">
        <v>0</v>
      </c>
      <c r="H50" s="90">
        <v>0</v>
      </c>
      <c r="I50" s="90">
        <v>0</v>
      </c>
      <c r="J50" s="91">
        <v>220</v>
      </c>
      <c r="K50" s="91">
        <v>0</v>
      </c>
      <c r="L50" s="46" t="s">
        <v>57</v>
      </c>
    </row>
    <row r="51" spans="1:12" ht="19.5" thickBot="1">
      <c r="A51" s="88"/>
      <c r="B51" s="89" t="s">
        <v>361</v>
      </c>
      <c r="C51" s="89" t="s">
        <v>362</v>
      </c>
      <c r="D51" s="89" t="s">
        <v>56</v>
      </c>
      <c r="E51" s="90">
        <v>0</v>
      </c>
      <c r="F51" s="90">
        <v>0</v>
      </c>
      <c r="G51" s="90">
        <v>0</v>
      </c>
      <c r="H51" s="90">
        <v>0</v>
      </c>
      <c r="I51" s="90">
        <v>0</v>
      </c>
      <c r="J51" s="91">
        <v>420</v>
      </c>
      <c r="K51" s="91">
        <v>0</v>
      </c>
      <c r="L51" s="46" t="s">
        <v>57</v>
      </c>
    </row>
    <row r="52" spans="1:12" ht="19.5" thickBot="1">
      <c r="A52" s="88"/>
      <c r="B52" s="89" t="s">
        <v>363</v>
      </c>
      <c r="C52" s="89" t="s">
        <v>364</v>
      </c>
      <c r="D52" s="89" t="s">
        <v>44</v>
      </c>
      <c r="E52" s="90">
        <v>112</v>
      </c>
      <c r="F52" s="90">
        <v>112</v>
      </c>
      <c r="G52" s="90">
        <v>112</v>
      </c>
      <c r="H52" s="90">
        <v>0</v>
      </c>
      <c r="I52" s="90">
        <v>0</v>
      </c>
      <c r="J52" s="91">
        <v>12500</v>
      </c>
      <c r="K52" s="91">
        <v>1400000</v>
      </c>
      <c r="L52" s="46" t="s">
        <v>57</v>
      </c>
    </row>
    <row r="53" spans="1:12" ht="19.5" thickBot="1">
      <c r="A53" s="88"/>
      <c r="B53" s="89" t="s">
        <v>365</v>
      </c>
      <c r="C53" s="89" t="s">
        <v>366</v>
      </c>
      <c r="D53" s="89" t="s">
        <v>44</v>
      </c>
      <c r="E53" s="90">
        <v>549</v>
      </c>
      <c r="F53" s="90">
        <v>549</v>
      </c>
      <c r="G53" s="90">
        <v>549</v>
      </c>
      <c r="H53" s="90">
        <v>0</v>
      </c>
      <c r="I53" s="90">
        <v>0</v>
      </c>
      <c r="J53" s="91">
        <v>8500</v>
      </c>
      <c r="K53" s="91">
        <v>4666500</v>
      </c>
      <c r="L53" s="46" t="s">
        <v>57</v>
      </c>
    </row>
    <row r="54" spans="1:12" ht="19.5" thickBot="1">
      <c r="A54" s="88"/>
      <c r="B54" s="89" t="s">
        <v>367</v>
      </c>
      <c r="C54" s="89" t="s">
        <v>368</v>
      </c>
      <c r="D54" s="89" t="s">
        <v>44</v>
      </c>
      <c r="E54" s="90">
        <v>130</v>
      </c>
      <c r="F54" s="90">
        <v>130</v>
      </c>
      <c r="G54" s="90">
        <v>130</v>
      </c>
      <c r="H54" s="90">
        <v>0</v>
      </c>
      <c r="I54" s="90">
        <v>0</v>
      </c>
      <c r="J54" s="91">
        <v>4500</v>
      </c>
      <c r="K54" s="91">
        <v>585000</v>
      </c>
      <c r="L54" s="46" t="s">
        <v>57</v>
      </c>
    </row>
    <row r="55" spans="1:12" ht="19.5" thickBot="1">
      <c r="A55" s="88"/>
      <c r="B55" s="89" t="s">
        <v>484</v>
      </c>
      <c r="C55" s="89" t="s">
        <v>485</v>
      </c>
      <c r="D55" s="89" t="s">
        <v>44</v>
      </c>
      <c r="E55" s="90">
        <v>0</v>
      </c>
      <c r="F55" s="90">
        <v>0</v>
      </c>
      <c r="G55" s="90">
        <v>0</v>
      </c>
      <c r="H55" s="90">
        <v>0</v>
      </c>
      <c r="I55" s="90">
        <v>0</v>
      </c>
      <c r="J55" s="91">
        <v>17500</v>
      </c>
      <c r="K55" s="91">
        <v>0</v>
      </c>
      <c r="L55" s="46" t="s">
        <v>57</v>
      </c>
    </row>
    <row r="56" spans="1:12" ht="19.5" thickBot="1">
      <c r="A56" s="88"/>
      <c r="B56" s="89" t="s">
        <v>369</v>
      </c>
      <c r="C56" s="89" t="s">
        <v>370</v>
      </c>
      <c r="D56" s="89" t="s">
        <v>45</v>
      </c>
      <c r="E56" s="90">
        <v>252</v>
      </c>
      <c r="F56" s="90">
        <v>252</v>
      </c>
      <c r="G56" s="90">
        <v>252</v>
      </c>
      <c r="H56" s="90">
        <v>0</v>
      </c>
      <c r="I56" s="90">
        <v>0</v>
      </c>
      <c r="J56" s="91">
        <v>450</v>
      </c>
      <c r="K56" s="91">
        <v>113400</v>
      </c>
      <c r="L56" s="46" t="s">
        <v>57</v>
      </c>
    </row>
    <row r="57" spans="1:12" ht="19.5" thickBot="1">
      <c r="A57" s="88"/>
      <c r="B57" s="89" t="s">
        <v>371</v>
      </c>
      <c r="C57" s="89" t="s">
        <v>372</v>
      </c>
      <c r="D57" s="89" t="s">
        <v>44</v>
      </c>
      <c r="E57" s="90">
        <v>829</v>
      </c>
      <c r="F57" s="90">
        <v>829</v>
      </c>
      <c r="G57" s="90">
        <v>829</v>
      </c>
      <c r="H57" s="90">
        <v>0</v>
      </c>
      <c r="I57" s="90">
        <v>0</v>
      </c>
      <c r="J57" s="91">
        <v>499</v>
      </c>
      <c r="K57" s="91">
        <v>413671</v>
      </c>
      <c r="L57" s="46" t="s">
        <v>57</v>
      </c>
    </row>
    <row r="58" spans="1:12" ht="19.5" thickBot="1">
      <c r="A58" s="88"/>
      <c r="B58" s="89" t="s">
        <v>373</v>
      </c>
      <c r="C58" s="89" t="s">
        <v>374</v>
      </c>
      <c r="D58" s="89" t="s">
        <v>44</v>
      </c>
      <c r="E58" s="90">
        <v>154</v>
      </c>
      <c r="F58" s="90">
        <v>154</v>
      </c>
      <c r="G58" s="90">
        <v>154</v>
      </c>
      <c r="H58" s="90">
        <v>0</v>
      </c>
      <c r="I58" s="90">
        <v>0</v>
      </c>
      <c r="J58" s="91">
        <v>12500</v>
      </c>
      <c r="K58" s="91">
        <v>1925000</v>
      </c>
      <c r="L58" s="46" t="s">
        <v>57</v>
      </c>
    </row>
    <row r="59" spans="1:12" ht="19.5" thickBot="1">
      <c r="A59" s="88"/>
      <c r="B59" s="89" t="s">
        <v>486</v>
      </c>
      <c r="C59" s="89" t="s">
        <v>487</v>
      </c>
      <c r="D59" s="89" t="s">
        <v>44</v>
      </c>
      <c r="E59" s="90">
        <v>100</v>
      </c>
      <c r="F59" s="90">
        <v>100</v>
      </c>
      <c r="G59" s="90">
        <v>100</v>
      </c>
      <c r="H59" s="90">
        <v>0</v>
      </c>
      <c r="I59" s="90">
        <v>0</v>
      </c>
      <c r="J59" s="91">
        <v>260</v>
      </c>
      <c r="K59" s="91">
        <v>26000</v>
      </c>
      <c r="L59" s="46" t="s">
        <v>57</v>
      </c>
    </row>
    <row r="60" spans="1:12" ht="19.5" thickBot="1">
      <c r="A60" s="88"/>
      <c r="B60" s="89" t="s">
        <v>375</v>
      </c>
      <c r="C60" s="89" t="s">
        <v>376</v>
      </c>
      <c r="D60" s="89" t="s">
        <v>45</v>
      </c>
      <c r="E60" s="90">
        <v>168</v>
      </c>
      <c r="F60" s="90">
        <v>168</v>
      </c>
      <c r="G60" s="90">
        <v>168</v>
      </c>
      <c r="H60" s="90">
        <v>0</v>
      </c>
      <c r="I60" s="90">
        <v>0</v>
      </c>
      <c r="J60" s="91">
        <v>2580</v>
      </c>
      <c r="K60" s="91">
        <v>433440</v>
      </c>
      <c r="L60" s="46" t="s">
        <v>57</v>
      </c>
    </row>
    <row r="61" spans="1:12" ht="19.5" thickBot="1">
      <c r="A61" s="88"/>
      <c r="B61" s="89" t="s">
        <v>377</v>
      </c>
      <c r="C61" s="89" t="s">
        <v>378</v>
      </c>
      <c r="D61" s="89" t="s">
        <v>45</v>
      </c>
      <c r="E61" s="90">
        <v>728</v>
      </c>
      <c r="F61" s="90">
        <v>728</v>
      </c>
      <c r="G61" s="90">
        <v>728</v>
      </c>
      <c r="H61" s="90">
        <v>0</v>
      </c>
      <c r="I61" s="90">
        <v>0</v>
      </c>
      <c r="J61" s="91">
        <v>6000</v>
      </c>
      <c r="K61" s="91">
        <v>4368000</v>
      </c>
      <c r="L61" s="46" t="s">
        <v>57</v>
      </c>
    </row>
    <row r="62" spans="1:12" ht="19.5" thickBot="1">
      <c r="A62" s="88"/>
      <c r="B62" s="89" t="s">
        <v>379</v>
      </c>
      <c r="C62" s="89" t="s">
        <v>380</v>
      </c>
      <c r="D62" s="89" t="s">
        <v>45</v>
      </c>
      <c r="E62" s="90">
        <v>194</v>
      </c>
      <c r="F62" s="90">
        <v>194</v>
      </c>
      <c r="G62" s="90">
        <v>194</v>
      </c>
      <c r="H62" s="90">
        <v>0</v>
      </c>
      <c r="I62" s="90">
        <v>0</v>
      </c>
      <c r="J62" s="91">
        <v>9450</v>
      </c>
      <c r="K62" s="91">
        <v>1833300</v>
      </c>
      <c r="L62" s="46" t="s">
        <v>57</v>
      </c>
    </row>
    <row r="63" spans="1:12" ht="19.5" thickBot="1">
      <c r="A63" s="88"/>
      <c r="B63" s="89" t="s">
        <v>488</v>
      </c>
      <c r="C63" s="89" t="s">
        <v>489</v>
      </c>
      <c r="D63" s="89" t="s">
        <v>45</v>
      </c>
      <c r="E63" s="90">
        <v>69</v>
      </c>
      <c r="F63" s="90">
        <v>69</v>
      </c>
      <c r="G63" s="90">
        <v>69</v>
      </c>
      <c r="H63" s="90">
        <v>0</v>
      </c>
      <c r="I63" s="90">
        <v>0</v>
      </c>
      <c r="J63" s="91">
        <v>118</v>
      </c>
      <c r="K63" s="91">
        <v>8142</v>
      </c>
      <c r="L63" s="46" t="s">
        <v>57</v>
      </c>
    </row>
    <row r="64" spans="1:12" ht="19.5" thickBot="1">
      <c r="A64" s="88"/>
      <c r="B64" s="89" t="s">
        <v>381</v>
      </c>
      <c r="C64" s="89" t="s">
        <v>382</v>
      </c>
      <c r="D64" s="89" t="s">
        <v>44</v>
      </c>
      <c r="E64" s="90">
        <v>207</v>
      </c>
      <c r="F64" s="90">
        <v>207</v>
      </c>
      <c r="G64" s="90">
        <v>207</v>
      </c>
      <c r="H64" s="90">
        <v>0</v>
      </c>
      <c r="I64" s="90">
        <v>0</v>
      </c>
      <c r="J64" s="91">
        <v>1099</v>
      </c>
      <c r="K64" s="91">
        <v>227493</v>
      </c>
      <c r="L64" s="46" t="s">
        <v>57</v>
      </c>
    </row>
    <row r="65" spans="1:12" ht="19.5" thickBot="1">
      <c r="A65" s="88"/>
      <c r="B65" s="89" t="s">
        <v>383</v>
      </c>
      <c r="C65" s="89" t="s">
        <v>47</v>
      </c>
      <c r="D65" s="89" t="s">
        <v>44</v>
      </c>
      <c r="E65" s="90">
        <v>196</v>
      </c>
      <c r="F65" s="90">
        <v>196</v>
      </c>
      <c r="G65" s="90">
        <v>196</v>
      </c>
      <c r="H65" s="90">
        <v>0</v>
      </c>
      <c r="I65" s="90">
        <v>0</v>
      </c>
      <c r="J65" s="91">
        <v>800</v>
      </c>
      <c r="K65" s="91">
        <v>156800</v>
      </c>
      <c r="L65" s="46" t="s">
        <v>57</v>
      </c>
    </row>
    <row r="66" spans="1:12" ht="19.5" thickBot="1">
      <c r="A66" s="88"/>
      <c r="B66" s="89" t="s">
        <v>384</v>
      </c>
      <c r="C66" s="89" t="s">
        <v>385</v>
      </c>
      <c r="D66" s="89" t="s">
        <v>45</v>
      </c>
      <c r="E66" s="90">
        <v>298</v>
      </c>
      <c r="F66" s="90">
        <v>298</v>
      </c>
      <c r="G66" s="90">
        <v>298</v>
      </c>
      <c r="H66" s="90">
        <v>0</v>
      </c>
      <c r="I66" s="90">
        <v>0</v>
      </c>
      <c r="J66" s="91">
        <v>7400</v>
      </c>
      <c r="K66" s="91">
        <v>2205200</v>
      </c>
      <c r="L66" s="46" t="s">
        <v>57</v>
      </c>
    </row>
    <row r="67" spans="1:12" ht="19.5" thickBot="1">
      <c r="A67" s="88"/>
      <c r="B67" s="89" t="s">
        <v>386</v>
      </c>
      <c r="C67" s="89" t="s">
        <v>387</v>
      </c>
      <c r="D67" s="89" t="s">
        <v>44</v>
      </c>
      <c r="E67" s="90">
        <v>492</v>
      </c>
      <c r="F67" s="90">
        <v>492</v>
      </c>
      <c r="G67" s="90">
        <v>492</v>
      </c>
      <c r="H67" s="90">
        <v>0</v>
      </c>
      <c r="I67" s="90">
        <v>0</v>
      </c>
      <c r="J67" s="91">
        <v>2570</v>
      </c>
      <c r="K67" s="91">
        <v>1264440</v>
      </c>
      <c r="L67" s="46" t="s">
        <v>57</v>
      </c>
    </row>
    <row r="68" spans="1:12" ht="19.5" thickBot="1">
      <c r="A68" s="88"/>
      <c r="B68" s="89" t="s">
        <v>388</v>
      </c>
      <c r="C68" s="89" t="s">
        <v>389</v>
      </c>
      <c r="D68" s="89" t="s">
        <v>45</v>
      </c>
      <c r="E68" s="90">
        <v>150</v>
      </c>
      <c r="F68" s="90">
        <v>150</v>
      </c>
      <c r="G68" s="90">
        <v>150</v>
      </c>
      <c r="H68" s="90">
        <v>0</v>
      </c>
      <c r="I68" s="90">
        <v>0</v>
      </c>
      <c r="J68" s="91">
        <v>13700</v>
      </c>
      <c r="K68" s="91">
        <v>2055000</v>
      </c>
      <c r="L68" s="46" t="s">
        <v>57</v>
      </c>
    </row>
    <row r="69" spans="1:12" ht="19.5" thickBot="1">
      <c r="A69" s="88"/>
      <c r="B69" s="89" t="s">
        <v>390</v>
      </c>
      <c r="C69" s="89" t="s">
        <v>391</v>
      </c>
      <c r="D69" s="89" t="s">
        <v>48</v>
      </c>
      <c r="E69" s="90">
        <v>338</v>
      </c>
      <c r="F69" s="90">
        <v>338</v>
      </c>
      <c r="G69" s="90">
        <v>338</v>
      </c>
      <c r="H69" s="90">
        <v>0</v>
      </c>
      <c r="I69" s="90">
        <v>0</v>
      </c>
      <c r="J69" s="91">
        <v>18700</v>
      </c>
      <c r="K69" s="91">
        <v>6320600</v>
      </c>
      <c r="L69" s="46" t="s">
        <v>57</v>
      </c>
    </row>
    <row r="70" spans="1:12" ht="19.5" thickBot="1">
      <c r="A70" s="88"/>
      <c r="B70" s="89" t="s">
        <v>392</v>
      </c>
      <c r="C70" s="89" t="s">
        <v>490</v>
      </c>
      <c r="D70" s="89" t="s">
        <v>48</v>
      </c>
      <c r="E70" s="90">
        <v>3794</v>
      </c>
      <c r="F70" s="90">
        <v>3794</v>
      </c>
      <c r="G70" s="90">
        <v>3794</v>
      </c>
      <c r="H70" s="90">
        <v>0</v>
      </c>
      <c r="I70" s="90">
        <v>0</v>
      </c>
      <c r="J70" s="91">
        <v>8396.7999999999993</v>
      </c>
      <c r="K70" s="91">
        <v>31857459.199999996</v>
      </c>
      <c r="L70" s="46" t="s">
        <v>57</v>
      </c>
    </row>
    <row r="71" spans="1:12" ht="19.5" thickBot="1">
      <c r="A71" s="88"/>
      <c r="B71" s="89" t="s">
        <v>393</v>
      </c>
      <c r="C71" s="89" t="s">
        <v>394</v>
      </c>
      <c r="D71" s="89" t="s">
        <v>48</v>
      </c>
      <c r="E71" s="90">
        <v>0</v>
      </c>
      <c r="F71" s="90">
        <v>0</v>
      </c>
      <c r="G71" s="90">
        <v>0</v>
      </c>
      <c r="H71" s="90">
        <v>0</v>
      </c>
      <c r="I71" s="90">
        <v>0</v>
      </c>
      <c r="J71" s="91">
        <v>17000</v>
      </c>
      <c r="K71" s="91">
        <v>0</v>
      </c>
      <c r="L71" s="46" t="s">
        <v>57</v>
      </c>
    </row>
    <row r="72" spans="1:12" ht="19.5" thickBot="1">
      <c r="A72" s="88"/>
      <c r="B72" s="89" t="s">
        <v>395</v>
      </c>
      <c r="C72" s="89" t="s">
        <v>396</v>
      </c>
      <c r="D72" s="89" t="s">
        <v>45</v>
      </c>
      <c r="E72" s="90">
        <v>411</v>
      </c>
      <c r="F72" s="90">
        <v>411</v>
      </c>
      <c r="G72" s="90">
        <v>411</v>
      </c>
      <c r="H72" s="90">
        <v>0</v>
      </c>
      <c r="I72" s="90">
        <v>0</v>
      </c>
      <c r="J72" s="91">
        <v>5950</v>
      </c>
      <c r="K72" s="91">
        <v>2445450</v>
      </c>
      <c r="L72" s="46" t="s">
        <v>57</v>
      </c>
    </row>
    <row r="73" spans="1:12" ht="19.5" thickBot="1">
      <c r="A73" s="88"/>
      <c r="B73" s="89" t="s">
        <v>397</v>
      </c>
      <c r="C73" s="89" t="s">
        <v>398</v>
      </c>
      <c r="D73" s="89" t="s">
        <v>45</v>
      </c>
      <c r="E73" s="90">
        <v>368</v>
      </c>
      <c r="F73" s="90">
        <v>368</v>
      </c>
      <c r="G73" s="90">
        <v>368</v>
      </c>
      <c r="H73" s="90">
        <v>0</v>
      </c>
      <c r="I73" s="90">
        <v>0</v>
      </c>
      <c r="J73" s="91">
        <v>6500</v>
      </c>
      <c r="K73" s="91">
        <v>2392000</v>
      </c>
      <c r="L73" s="46" t="s">
        <v>57</v>
      </c>
    </row>
    <row r="74" spans="1:12" ht="19.5" thickBot="1">
      <c r="A74" s="88"/>
      <c r="B74" s="89" t="s">
        <v>399</v>
      </c>
      <c r="C74" s="89" t="s">
        <v>49</v>
      </c>
      <c r="D74" s="89" t="s">
        <v>46</v>
      </c>
      <c r="E74" s="90">
        <v>469</v>
      </c>
      <c r="F74" s="90">
        <v>469</v>
      </c>
      <c r="G74" s="90">
        <v>469</v>
      </c>
      <c r="H74" s="90">
        <v>0</v>
      </c>
      <c r="I74" s="90">
        <v>0</v>
      </c>
      <c r="J74" s="91">
        <v>590</v>
      </c>
      <c r="K74" s="91">
        <v>276710</v>
      </c>
      <c r="L74" s="46" t="s">
        <v>57</v>
      </c>
    </row>
    <row r="75" spans="1:12" ht="19.5" thickBot="1">
      <c r="A75" s="88"/>
      <c r="B75" s="89" t="s">
        <v>400</v>
      </c>
      <c r="C75" s="89" t="s">
        <v>401</v>
      </c>
      <c r="D75" s="89" t="s">
        <v>45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1">
        <v>2500</v>
      </c>
      <c r="K75" s="91">
        <v>0</v>
      </c>
      <c r="L75" s="46" t="s">
        <v>57</v>
      </c>
    </row>
    <row r="76" spans="1:12" ht="19.5" thickBot="1">
      <c r="A76" s="88"/>
      <c r="B76" s="89" t="s">
        <v>491</v>
      </c>
      <c r="C76" s="89" t="s">
        <v>492</v>
      </c>
      <c r="D76" s="89" t="s">
        <v>45</v>
      </c>
      <c r="E76" s="90">
        <v>264</v>
      </c>
      <c r="F76" s="90">
        <v>264</v>
      </c>
      <c r="G76" s="90">
        <v>264</v>
      </c>
      <c r="H76" s="90">
        <v>0</v>
      </c>
      <c r="I76" s="90">
        <v>0</v>
      </c>
      <c r="J76" s="91">
        <v>3500</v>
      </c>
      <c r="K76" s="91">
        <v>924000</v>
      </c>
      <c r="L76" s="46" t="s">
        <v>57</v>
      </c>
    </row>
    <row r="77" spans="1:12" ht="19.5" thickBot="1">
      <c r="A77" s="88"/>
      <c r="B77" s="89" t="s">
        <v>402</v>
      </c>
      <c r="C77" s="89" t="s">
        <v>403</v>
      </c>
      <c r="D77" s="89" t="s">
        <v>48</v>
      </c>
      <c r="E77" s="90">
        <v>278</v>
      </c>
      <c r="F77" s="90">
        <v>278</v>
      </c>
      <c r="G77" s="90">
        <v>278</v>
      </c>
      <c r="H77" s="90">
        <v>0</v>
      </c>
      <c r="I77" s="90">
        <v>0</v>
      </c>
      <c r="J77" s="91">
        <v>9700</v>
      </c>
      <c r="K77" s="91">
        <v>2696600</v>
      </c>
      <c r="L77" s="46" t="s">
        <v>57</v>
      </c>
    </row>
    <row r="78" spans="1:12" ht="19.5" thickBot="1">
      <c r="A78" s="88"/>
      <c r="B78" s="89" t="s">
        <v>404</v>
      </c>
      <c r="C78" s="89" t="s">
        <v>405</v>
      </c>
      <c r="D78" s="89" t="s">
        <v>48</v>
      </c>
      <c r="E78" s="90">
        <v>313</v>
      </c>
      <c r="F78" s="90">
        <v>313</v>
      </c>
      <c r="G78" s="90">
        <v>313</v>
      </c>
      <c r="H78" s="90">
        <v>0</v>
      </c>
      <c r="I78" s="90">
        <v>0</v>
      </c>
      <c r="J78" s="91">
        <v>6600</v>
      </c>
      <c r="K78" s="91">
        <v>2065800</v>
      </c>
      <c r="L78" s="46" t="s">
        <v>57</v>
      </c>
    </row>
    <row r="79" spans="1:12" ht="19.5" thickBot="1">
      <c r="A79" s="88"/>
      <c r="B79" s="89" t="s">
        <v>406</v>
      </c>
      <c r="C79" s="89" t="s">
        <v>407</v>
      </c>
      <c r="D79" s="89" t="s">
        <v>48</v>
      </c>
      <c r="E79" s="90">
        <v>286</v>
      </c>
      <c r="F79" s="90">
        <v>286</v>
      </c>
      <c r="G79" s="90">
        <v>286</v>
      </c>
      <c r="H79" s="90">
        <v>0</v>
      </c>
      <c r="I79" s="90">
        <v>0</v>
      </c>
      <c r="J79" s="91">
        <v>5000</v>
      </c>
      <c r="K79" s="91">
        <v>1430000</v>
      </c>
      <c r="L79" s="46" t="s">
        <v>57</v>
      </c>
    </row>
    <row r="80" spans="1:12" ht="19.5" thickBot="1">
      <c r="A80" s="88"/>
      <c r="B80" s="89" t="s">
        <v>408</v>
      </c>
      <c r="C80" s="89" t="s">
        <v>409</v>
      </c>
      <c r="D80" s="89" t="s">
        <v>45</v>
      </c>
      <c r="E80" s="90">
        <v>0</v>
      </c>
      <c r="F80" s="90">
        <v>0</v>
      </c>
      <c r="G80" s="90">
        <v>0</v>
      </c>
      <c r="H80" s="90">
        <v>0</v>
      </c>
      <c r="I80" s="90">
        <v>0</v>
      </c>
      <c r="J80" s="91">
        <v>3400</v>
      </c>
      <c r="K80" s="91">
        <v>0</v>
      </c>
      <c r="L80" s="46" t="s">
        <v>57</v>
      </c>
    </row>
    <row r="81" spans="1:12" ht="19.5" thickBot="1">
      <c r="A81" s="88"/>
      <c r="B81" s="89" t="s">
        <v>410</v>
      </c>
      <c r="C81" s="89" t="s">
        <v>411</v>
      </c>
      <c r="D81" s="89" t="s">
        <v>56</v>
      </c>
      <c r="E81" s="90">
        <v>175</v>
      </c>
      <c r="F81" s="90">
        <v>175</v>
      </c>
      <c r="G81" s="90">
        <v>175</v>
      </c>
      <c r="H81" s="90">
        <v>0</v>
      </c>
      <c r="I81" s="90">
        <v>0</v>
      </c>
      <c r="J81" s="91">
        <v>4866</v>
      </c>
      <c r="K81" s="91">
        <v>851550</v>
      </c>
      <c r="L81" s="46" t="s">
        <v>57</v>
      </c>
    </row>
    <row r="82" spans="1:12" ht="19.5" thickBot="1">
      <c r="A82" s="88"/>
      <c r="B82" s="89" t="s">
        <v>412</v>
      </c>
      <c r="C82" s="89" t="s">
        <v>50</v>
      </c>
      <c r="D82" s="89" t="s">
        <v>44</v>
      </c>
      <c r="E82" s="90">
        <v>2475</v>
      </c>
      <c r="F82" s="90">
        <v>2475</v>
      </c>
      <c r="G82" s="90">
        <v>2475</v>
      </c>
      <c r="H82" s="90">
        <v>0</v>
      </c>
      <c r="I82" s="90">
        <v>0</v>
      </c>
      <c r="J82" s="91">
        <v>125</v>
      </c>
      <c r="K82" s="91">
        <v>309375</v>
      </c>
      <c r="L82" s="46" t="s">
        <v>57</v>
      </c>
    </row>
    <row r="83" spans="1:12" ht="19.5" thickBot="1">
      <c r="A83" s="88"/>
      <c r="B83" s="89" t="s">
        <v>413</v>
      </c>
      <c r="C83" s="89" t="s">
        <v>414</v>
      </c>
      <c r="D83" s="89" t="s">
        <v>51</v>
      </c>
      <c r="E83" s="90">
        <v>400</v>
      </c>
      <c r="F83" s="90">
        <v>400</v>
      </c>
      <c r="G83" s="90">
        <v>400</v>
      </c>
      <c r="H83" s="90">
        <v>0</v>
      </c>
      <c r="I83" s="90">
        <v>0</v>
      </c>
      <c r="J83" s="91">
        <v>1500</v>
      </c>
      <c r="K83" s="91">
        <v>600000</v>
      </c>
      <c r="L83" s="46" t="s">
        <v>57</v>
      </c>
    </row>
    <row r="84" spans="1:12" ht="19.5" thickBot="1">
      <c r="A84" s="88"/>
      <c r="B84" s="89" t="s">
        <v>52</v>
      </c>
      <c r="C84" s="89" t="s">
        <v>415</v>
      </c>
      <c r="D84" s="89" t="s">
        <v>51</v>
      </c>
      <c r="E84" s="90">
        <v>427</v>
      </c>
      <c r="F84" s="90">
        <v>427</v>
      </c>
      <c r="G84" s="90">
        <v>427</v>
      </c>
      <c r="H84" s="90">
        <v>0</v>
      </c>
      <c r="I84" s="90">
        <v>0</v>
      </c>
      <c r="J84" s="91">
        <v>1800</v>
      </c>
      <c r="K84" s="91">
        <v>768600</v>
      </c>
      <c r="L84" s="46" t="s">
        <v>57</v>
      </c>
    </row>
    <row r="85" spans="1:12" ht="19.5" thickBot="1">
      <c r="A85" s="88"/>
      <c r="B85" s="89" t="s">
        <v>493</v>
      </c>
      <c r="C85" s="89" t="s">
        <v>414</v>
      </c>
      <c r="D85" s="89" t="s">
        <v>51</v>
      </c>
      <c r="E85" s="90">
        <v>2234</v>
      </c>
      <c r="F85" s="90">
        <v>2234</v>
      </c>
      <c r="G85" s="90">
        <v>2234</v>
      </c>
      <c r="H85" s="90">
        <v>0</v>
      </c>
      <c r="I85" s="90">
        <v>0</v>
      </c>
      <c r="J85" s="91">
        <v>2336.4</v>
      </c>
      <c r="K85" s="91">
        <v>5219517.6000000006</v>
      </c>
      <c r="L85" s="46" t="s">
        <v>57</v>
      </c>
    </row>
    <row r="86" spans="1:12" ht="19.5" thickBot="1">
      <c r="A86" s="88"/>
      <c r="B86" s="89" t="s">
        <v>416</v>
      </c>
      <c r="C86" s="89" t="s">
        <v>417</v>
      </c>
      <c r="D86" s="89" t="s">
        <v>51</v>
      </c>
      <c r="E86" s="90">
        <v>0</v>
      </c>
      <c r="F86" s="90">
        <v>0</v>
      </c>
      <c r="G86" s="90">
        <v>0</v>
      </c>
      <c r="H86" s="90">
        <v>0</v>
      </c>
      <c r="I86" s="90">
        <v>0</v>
      </c>
      <c r="J86" s="91">
        <v>1500</v>
      </c>
      <c r="K86" s="91">
        <v>0</v>
      </c>
      <c r="L86" s="46" t="s">
        <v>57</v>
      </c>
    </row>
    <row r="87" spans="1:12" ht="19.5" thickBot="1">
      <c r="A87" s="88"/>
      <c r="B87" s="89" t="s">
        <v>418</v>
      </c>
      <c r="C87" s="89" t="s">
        <v>419</v>
      </c>
      <c r="D87" s="89" t="s">
        <v>51</v>
      </c>
      <c r="E87" s="90">
        <v>265</v>
      </c>
      <c r="F87" s="90">
        <v>265</v>
      </c>
      <c r="G87" s="90">
        <v>265</v>
      </c>
      <c r="H87" s="90">
        <v>0</v>
      </c>
      <c r="I87" s="90">
        <v>0</v>
      </c>
      <c r="J87" s="91">
        <v>1019.99</v>
      </c>
      <c r="K87" s="91">
        <v>270297.34999999998</v>
      </c>
      <c r="L87" s="46" t="s">
        <v>57</v>
      </c>
    </row>
    <row r="88" spans="1:12" ht="29.25" thickBot="1">
      <c r="A88" s="88"/>
      <c r="B88" s="89" t="s">
        <v>494</v>
      </c>
      <c r="C88" s="89" t="s">
        <v>495</v>
      </c>
      <c r="D88" s="89" t="s">
        <v>51</v>
      </c>
      <c r="E88" s="90">
        <v>183</v>
      </c>
      <c r="F88" s="90">
        <v>183</v>
      </c>
      <c r="G88" s="90">
        <v>183</v>
      </c>
      <c r="H88" s="90">
        <v>0</v>
      </c>
      <c r="I88" s="90">
        <v>0</v>
      </c>
      <c r="J88" s="91">
        <v>2336.4</v>
      </c>
      <c r="K88" s="91">
        <v>427561.2</v>
      </c>
      <c r="L88" s="46" t="s">
        <v>57</v>
      </c>
    </row>
    <row r="89" spans="1:12" ht="19.5" thickBot="1">
      <c r="A89" s="88"/>
      <c r="B89" s="89" t="s">
        <v>420</v>
      </c>
      <c r="C89" s="89" t="s">
        <v>421</v>
      </c>
      <c r="D89" s="89" t="s">
        <v>44</v>
      </c>
      <c r="E89" s="90">
        <v>4502</v>
      </c>
      <c r="F89" s="90">
        <v>4502</v>
      </c>
      <c r="G89" s="90">
        <v>4502</v>
      </c>
      <c r="H89" s="90">
        <v>0</v>
      </c>
      <c r="I89" s="90">
        <v>0</v>
      </c>
      <c r="J89" s="91">
        <v>169</v>
      </c>
      <c r="K89" s="91">
        <v>760838</v>
      </c>
      <c r="L89" s="46" t="s">
        <v>57</v>
      </c>
    </row>
    <row r="90" spans="1:12" ht="19.5" thickBot="1">
      <c r="A90" s="88"/>
      <c r="B90" s="89" t="s">
        <v>422</v>
      </c>
      <c r="C90" s="89" t="s">
        <v>423</v>
      </c>
      <c r="D90" s="89" t="s">
        <v>44</v>
      </c>
      <c r="E90" s="90">
        <v>230</v>
      </c>
      <c r="F90" s="90">
        <v>230</v>
      </c>
      <c r="G90" s="90">
        <v>230</v>
      </c>
      <c r="H90" s="90">
        <v>0</v>
      </c>
      <c r="I90" s="90">
        <v>0</v>
      </c>
      <c r="J90" s="91">
        <v>4400</v>
      </c>
      <c r="K90" s="91">
        <v>1012000</v>
      </c>
      <c r="L90" s="46" t="s">
        <v>57</v>
      </c>
    </row>
    <row r="91" spans="1:12" ht="19.5" thickBot="1">
      <c r="A91" s="88"/>
      <c r="B91" s="89" t="s">
        <v>424</v>
      </c>
      <c r="C91" s="89" t="s">
        <v>425</v>
      </c>
      <c r="D91" s="89" t="s">
        <v>44</v>
      </c>
      <c r="E91" s="90">
        <v>114</v>
      </c>
      <c r="F91" s="90">
        <v>114</v>
      </c>
      <c r="G91" s="90">
        <v>114</v>
      </c>
      <c r="H91" s="90">
        <v>0</v>
      </c>
      <c r="I91" s="90">
        <v>0</v>
      </c>
      <c r="J91" s="91">
        <v>32500</v>
      </c>
      <c r="K91" s="91">
        <v>3705000</v>
      </c>
      <c r="L91" s="46" t="s">
        <v>57</v>
      </c>
    </row>
    <row r="92" spans="1:12" ht="19.5" thickBot="1">
      <c r="A92" s="88"/>
      <c r="B92" s="89" t="s">
        <v>426</v>
      </c>
      <c r="C92" s="89" t="s">
        <v>427</v>
      </c>
      <c r="D92" s="89" t="s">
        <v>44</v>
      </c>
      <c r="E92" s="90">
        <v>284</v>
      </c>
      <c r="F92" s="90">
        <v>284</v>
      </c>
      <c r="G92" s="90">
        <v>284</v>
      </c>
      <c r="H92" s="90">
        <v>0</v>
      </c>
      <c r="I92" s="90">
        <v>0</v>
      </c>
      <c r="J92" s="91">
        <v>3390</v>
      </c>
      <c r="K92" s="91">
        <v>962760</v>
      </c>
      <c r="L92" s="46" t="s">
        <v>57</v>
      </c>
    </row>
    <row r="93" spans="1:12" ht="19.5" thickBot="1">
      <c r="A93" s="88"/>
      <c r="B93" s="89" t="s">
        <v>428</v>
      </c>
      <c r="C93" s="89" t="s">
        <v>429</v>
      </c>
      <c r="D93" s="89" t="s">
        <v>44</v>
      </c>
      <c r="E93" s="90">
        <v>25</v>
      </c>
      <c r="F93" s="90">
        <v>25</v>
      </c>
      <c r="G93" s="90">
        <v>25</v>
      </c>
      <c r="H93" s="90">
        <v>0</v>
      </c>
      <c r="I93" s="90">
        <v>0</v>
      </c>
      <c r="J93" s="91">
        <v>24500</v>
      </c>
      <c r="K93" s="91">
        <v>612500</v>
      </c>
      <c r="L93" s="46" t="s">
        <v>57</v>
      </c>
    </row>
    <row r="94" spans="1:12" ht="19.5" thickBot="1">
      <c r="A94" s="88"/>
      <c r="B94" s="89" t="s">
        <v>430</v>
      </c>
      <c r="C94" s="89" t="s">
        <v>431</v>
      </c>
      <c r="D94" s="89" t="s">
        <v>54</v>
      </c>
      <c r="E94" s="90">
        <v>309</v>
      </c>
      <c r="F94" s="90">
        <v>309</v>
      </c>
      <c r="G94" s="90">
        <v>309</v>
      </c>
      <c r="H94" s="90">
        <v>0</v>
      </c>
      <c r="I94" s="90">
        <v>0</v>
      </c>
      <c r="J94" s="91">
        <v>1250</v>
      </c>
      <c r="K94" s="91">
        <v>386250</v>
      </c>
      <c r="L94" s="46" t="s">
        <v>57</v>
      </c>
    </row>
    <row r="95" spans="1:12" ht="19.5" thickBot="1">
      <c r="A95" s="88"/>
      <c r="B95" s="89" t="s">
        <v>432</v>
      </c>
      <c r="C95" s="89" t="s">
        <v>433</v>
      </c>
      <c r="D95" s="89" t="s">
        <v>54</v>
      </c>
      <c r="E95" s="90">
        <v>995</v>
      </c>
      <c r="F95" s="90">
        <v>995</v>
      </c>
      <c r="G95" s="90">
        <v>995</v>
      </c>
      <c r="H95" s="90">
        <v>0</v>
      </c>
      <c r="I95" s="90">
        <v>0</v>
      </c>
      <c r="J95" s="91">
        <v>400</v>
      </c>
      <c r="K95" s="91">
        <v>398000</v>
      </c>
      <c r="L95" s="46" t="s">
        <v>57</v>
      </c>
    </row>
    <row r="96" spans="1:12" ht="19.5" thickBot="1">
      <c r="A96" s="88"/>
      <c r="B96" s="89" t="s">
        <v>434</v>
      </c>
      <c r="C96" s="89" t="s">
        <v>435</v>
      </c>
      <c r="D96" s="89" t="s">
        <v>53</v>
      </c>
      <c r="E96" s="90">
        <v>0</v>
      </c>
      <c r="F96" s="90">
        <v>0</v>
      </c>
      <c r="G96" s="90">
        <v>0</v>
      </c>
      <c r="H96" s="90">
        <v>0</v>
      </c>
      <c r="I96" s="90">
        <v>0</v>
      </c>
      <c r="J96" s="91">
        <v>445</v>
      </c>
      <c r="K96" s="91">
        <v>0</v>
      </c>
      <c r="L96" s="46" t="s">
        <v>57</v>
      </c>
    </row>
    <row r="97" spans="1:12" ht="19.5" thickBot="1">
      <c r="A97" s="88"/>
      <c r="B97" s="89" t="s">
        <v>436</v>
      </c>
      <c r="C97" s="89" t="s">
        <v>437</v>
      </c>
      <c r="D97" s="89" t="s">
        <v>53</v>
      </c>
      <c r="E97" s="90">
        <v>0</v>
      </c>
      <c r="F97" s="90">
        <v>0</v>
      </c>
      <c r="G97" s="90">
        <v>0</v>
      </c>
      <c r="H97" s="90">
        <v>0</v>
      </c>
      <c r="I97" s="90">
        <v>0</v>
      </c>
      <c r="J97" s="91">
        <v>800</v>
      </c>
      <c r="K97" s="91">
        <v>0</v>
      </c>
      <c r="L97" s="46" t="s">
        <v>57</v>
      </c>
    </row>
    <row r="98" spans="1:12" ht="19.5" thickBot="1">
      <c r="A98" s="88"/>
      <c r="B98" s="89" t="s">
        <v>438</v>
      </c>
      <c r="C98" s="89" t="s">
        <v>439</v>
      </c>
      <c r="D98" s="89" t="s">
        <v>44</v>
      </c>
      <c r="E98" s="90">
        <v>6</v>
      </c>
      <c r="F98" s="90">
        <v>6</v>
      </c>
      <c r="G98" s="90">
        <v>6</v>
      </c>
      <c r="H98" s="90">
        <v>0</v>
      </c>
      <c r="I98" s="90">
        <v>0</v>
      </c>
      <c r="J98" s="91">
        <v>3999</v>
      </c>
      <c r="K98" s="91">
        <v>23994</v>
      </c>
      <c r="L98" s="46" t="s">
        <v>57</v>
      </c>
    </row>
    <row r="99" spans="1:12" ht="19.5" thickBot="1">
      <c r="A99" s="88"/>
      <c r="B99" s="89" t="s">
        <v>440</v>
      </c>
      <c r="C99" s="89" t="s">
        <v>441</v>
      </c>
      <c r="D99" s="89" t="s">
        <v>44</v>
      </c>
      <c r="E99" s="90">
        <v>156</v>
      </c>
      <c r="F99" s="90">
        <v>156</v>
      </c>
      <c r="G99" s="90">
        <v>156</v>
      </c>
      <c r="H99" s="90">
        <v>0</v>
      </c>
      <c r="I99" s="90">
        <v>0</v>
      </c>
      <c r="J99" s="91">
        <v>500</v>
      </c>
      <c r="K99" s="91">
        <v>78000</v>
      </c>
      <c r="L99" s="46" t="s">
        <v>57</v>
      </c>
    </row>
    <row r="100" spans="1:12" ht="19.5" thickBot="1">
      <c r="A100" s="88"/>
      <c r="B100" s="89" t="s">
        <v>442</v>
      </c>
      <c r="C100" s="89" t="s">
        <v>443</v>
      </c>
      <c r="D100" s="89" t="s">
        <v>45</v>
      </c>
      <c r="E100" s="90">
        <v>1490</v>
      </c>
      <c r="F100" s="90">
        <v>1490</v>
      </c>
      <c r="G100" s="90">
        <v>1490</v>
      </c>
      <c r="H100" s="90">
        <v>0</v>
      </c>
      <c r="I100" s="90">
        <v>0</v>
      </c>
      <c r="J100" s="91">
        <v>740</v>
      </c>
      <c r="K100" s="91">
        <v>1102600</v>
      </c>
      <c r="L100" s="46" t="s">
        <v>57</v>
      </c>
    </row>
    <row r="101" spans="1:12" ht="19.5" thickBot="1">
      <c r="A101" s="88"/>
      <c r="B101" s="89" t="s">
        <v>444</v>
      </c>
      <c r="C101" s="89" t="s">
        <v>445</v>
      </c>
      <c r="D101" s="89" t="s">
        <v>54</v>
      </c>
      <c r="E101" s="90">
        <v>1775</v>
      </c>
      <c r="F101" s="90">
        <v>1775</v>
      </c>
      <c r="G101" s="90">
        <v>1775</v>
      </c>
      <c r="H101" s="90">
        <v>0</v>
      </c>
      <c r="I101" s="90">
        <v>0</v>
      </c>
      <c r="J101" s="91">
        <v>765</v>
      </c>
      <c r="K101" s="91">
        <v>1357875</v>
      </c>
      <c r="L101" s="46" t="s">
        <v>57</v>
      </c>
    </row>
    <row r="102" spans="1:12" ht="19.5" thickBot="1">
      <c r="A102" s="88"/>
      <c r="B102" s="89" t="s">
        <v>446</v>
      </c>
      <c r="C102" s="89" t="s">
        <v>447</v>
      </c>
      <c r="D102" s="89" t="s">
        <v>44</v>
      </c>
      <c r="E102" s="90">
        <v>47</v>
      </c>
      <c r="F102" s="90">
        <v>47</v>
      </c>
      <c r="G102" s="90">
        <v>47</v>
      </c>
      <c r="H102" s="90">
        <v>0</v>
      </c>
      <c r="I102" s="90">
        <v>0</v>
      </c>
      <c r="J102" s="91">
        <v>13200</v>
      </c>
      <c r="K102" s="91">
        <v>620400</v>
      </c>
      <c r="L102" s="46" t="s">
        <v>57</v>
      </c>
    </row>
    <row r="103" spans="1:12" ht="19.5" thickBot="1">
      <c r="A103" s="88"/>
      <c r="B103" s="89" t="s">
        <v>448</v>
      </c>
      <c r="C103" s="89" t="s">
        <v>449</v>
      </c>
      <c r="D103" s="89" t="s">
        <v>44</v>
      </c>
      <c r="E103" s="90">
        <v>98</v>
      </c>
      <c r="F103" s="90">
        <v>98</v>
      </c>
      <c r="G103" s="90">
        <v>98</v>
      </c>
      <c r="H103" s="90">
        <v>0</v>
      </c>
      <c r="I103" s="90">
        <v>0</v>
      </c>
      <c r="J103" s="91">
        <v>1800</v>
      </c>
      <c r="K103" s="91">
        <v>176400</v>
      </c>
      <c r="L103" s="46" t="s">
        <v>57</v>
      </c>
    </row>
    <row r="104" spans="1:12" ht="19.5" thickBot="1">
      <c r="A104" s="88"/>
      <c r="B104" s="89" t="s">
        <v>496</v>
      </c>
      <c r="C104" s="89" t="s">
        <v>449</v>
      </c>
      <c r="D104" s="89" t="s">
        <v>44</v>
      </c>
      <c r="E104" s="90">
        <v>0</v>
      </c>
      <c r="F104" s="90">
        <v>0</v>
      </c>
      <c r="G104" s="90">
        <v>0</v>
      </c>
      <c r="H104" s="90">
        <v>0</v>
      </c>
      <c r="I104" s="90">
        <v>0</v>
      </c>
      <c r="J104" s="91">
        <v>1340</v>
      </c>
      <c r="K104" s="91">
        <v>0</v>
      </c>
      <c r="L104" s="46" t="s">
        <v>57</v>
      </c>
    </row>
    <row r="105" spans="1:12" ht="19.5" thickBot="1">
      <c r="A105" s="88"/>
      <c r="B105" s="89" t="s">
        <v>450</v>
      </c>
      <c r="C105" s="89" t="s">
        <v>451</v>
      </c>
      <c r="D105" s="89" t="s">
        <v>44</v>
      </c>
      <c r="E105" s="90">
        <v>0</v>
      </c>
      <c r="F105" s="90">
        <v>0</v>
      </c>
      <c r="G105" s="90">
        <v>0</v>
      </c>
      <c r="H105" s="90">
        <v>0</v>
      </c>
      <c r="I105" s="90">
        <v>0</v>
      </c>
      <c r="J105" s="91">
        <v>1352.95</v>
      </c>
      <c r="K105" s="91">
        <v>0</v>
      </c>
      <c r="L105" s="46" t="s">
        <v>57</v>
      </c>
    </row>
    <row r="106" spans="1:12" ht="19.5" thickBot="1">
      <c r="A106" s="88"/>
      <c r="B106" s="89" t="s">
        <v>452</v>
      </c>
      <c r="C106" s="89" t="s">
        <v>453</v>
      </c>
      <c r="D106" s="89" t="s">
        <v>44</v>
      </c>
      <c r="E106" s="90">
        <v>238</v>
      </c>
      <c r="F106" s="90">
        <v>238</v>
      </c>
      <c r="G106" s="90">
        <v>238</v>
      </c>
      <c r="H106" s="90">
        <v>0</v>
      </c>
      <c r="I106" s="90">
        <v>0</v>
      </c>
      <c r="J106" s="91">
        <v>1775</v>
      </c>
      <c r="K106" s="91">
        <v>422450</v>
      </c>
      <c r="L106" s="46" t="s">
        <v>57</v>
      </c>
    </row>
    <row r="107" spans="1:12" ht="19.5" thickBot="1">
      <c r="A107" s="88"/>
      <c r="B107" s="89" t="s">
        <v>454</v>
      </c>
      <c r="C107" s="89" t="s">
        <v>55</v>
      </c>
      <c r="D107" s="89" t="s">
        <v>45</v>
      </c>
      <c r="E107" s="90">
        <v>72</v>
      </c>
      <c r="F107" s="90">
        <v>72</v>
      </c>
      <c r="G107" s="90">
        <v>72</v>
      </c>
      <c r="H107" s="90">
        <v>0</v>
      </c>
      <c r="I107" s="90">
        <v>0</v>
      </c>
      <c r="J107" s="91">
        <v>1400</v>
      </c>
      <c r="K107" s="91">
        <v>100800</v>
      </c>
      <c r="L107" s="46" t="s">
        <v>57</v>
      </c>
    </row>
    <row r="108" spans="1:12" ht="19.5" thickBot="1">
      <c r="A108" s="88"/>
      <c r="B108" s="89" t="s">
        <v>455</v>
      </c>
      <c r="C108" s="89" t="s">
        <v>456</v>
      </c>
      <c r="D108" s="89" t="s">
        <v>44</v>
      </c>
      <c r="E108" s="90">
        <v>264</v>
      </c>
      <c r="F108" s="90">
        <v>264</v>
      </c>
      <c r="G108" s="90">
        <v>264</v>
      </c>
      <c r="H108" s="90">
        <v>0</v>
      </c>
      <c r="I108" s="90">
        <v>0</v>
      </c>
      <c r="J108" s="91">
        <v>3500</v>
      </c>
      <c r="K108" s="91">
        <v>924000</v>
      </c>
      <c r="L108" s="46" t="s">
        <v>57</v>
      </c>
    </row>
    <row r="109" spans="1:12" ht="19.5" thickBot="1">
      <c r="A109" s="88"/>
      <c r="B109" s="89" t="s">
        <v>497</v>
      </c>
      <c r="C109" s="89" t="s">
        <v>498</v>
      </c>
      <c r="D109" s="89" t="s">
        <v>45</v>
      </c>
      <c r="E109" s="90">
        <v>354</v>
      </c>
      <c r="F109" s="90">
        <v>354</v>
      </c>
      <c r="G109" s="90">
        <v>354</v>
      </c>
      <c r="H109" s="90">
        <v>0</v>
      </c>
      <c r="I109" s="90">
        <v>0</v>
      </c>
      <c r="J109" s="91">
        <v>3000</v>
      </c>
      <c r="K109" s="91">
        <v>1062000</v>
      </c>
      <c r="L109" s="46" t="s">
        <v>57</v>
      </c>
    </row>
    <row r="110" spans="1:12" ht="19.5" thickBot="1">
      <c r="A110" s="88"/>
      <c r="B110" s="89" t="s">
        <v>457</v>
      </c>
      <c r="C110" s="89" t="s">
        <v>458</v>
      </c>
      <c r="D110" s="89" t="s">
        <v>44</v>
      </c>
      <c r="E110" s="90">
        <v>84</v>
      </c>
      <c r="F110" s="90">
        <v>84</v>
      </c>
      <c r="G110" s="90">
        <v>84</v>
      </c>
      <c r="H110" s="90">
        <v>0</v>
      </c>
      <c r="I110" s="90">
        <v>0</v>
      </c>
      <c r="J110" s="91">
        <v>3500</v>
      </c>
      <c r="K110" s="91">
        <v>294000</v>
      </c>
      <c r="L110" s="46" t="s">
        <v>57</v>
      </c>
    </row>
    <row r="111" spans="1:12" ht="19.5" thickBot="1">
      <c r="A111" s="88"/>
      <c r="B111" s="89" t="s">
        <v>459</v>
      </c>
      <c r="C111" s="89" t="s">
        <v>460</v>
      </c>
      <c r="D111" s="89" t="s">
        <v>44</v>
      </c>
      <c r="E111" s="90">
        <v>240</v>
      </c>
      <c r="F111" s="90">
        <v>240</v>
      </c>
      <c r="G111" s="90">
        <v>240</v>
      </c>
      <c r="H111" s="90">
        <v>0</v>
      </c>
      <c r="I111" s="90">
        <v>0</v>
      </c>
      <c r="J111" s="91">
        <v>1100</v>
      </c>
      <c r="K111" s="91">
        <v>264000</v>
      </c>
      <c r="L111" s="46" t="s">
        <v>57</v>
      </c>
    </row>
    <row r="112" spans="1:12" ht="15.75">
      <c r="A112" s="88"/>
      <c r="B112" s="111" t="s">
        <v>318</v>
      </c>
      <c r="C112" s="111"/>
      <c r="D112" s="111"/>
      <c r="E112" s="111"/>
      <c r="F112" s="111"/>
      <c r="G112" s="111"/>
      <c r="H112" s="111"/>
      <c r="I112" s="111"/>
      <c r="J112" s="111"/>
      <c r="K112" s="92">
        <v>97599233.349999994</v>
      </c>
    </row>
    <row r="113" spans="1:11" ht="15.75">
      <c r="A113" s="88"/>
      <c r="B113" s="113" t="s">
        <v>461</v>
      </c>
      <c r="C113" s="113"/>
      <c r="D113" s="113"/>
      <c r="E113" s="113"/>
      <c r="F113" s="113"/>
      <c r="G113" s="113"/>
      <c r="H113" s="113"/>
      <c r="I113" s="113"/>
      <c r="J113" s="113"/>
      <c r="K113" s="92">
        <f>K112+K37+K29+K16</f>
        <v>183536480.13</v>
      </c>
    </row>
    <row r="114" spans="1:11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</row>
  </sheetData>
  <mergeCells count="17">
    <mergeCell ref="B34:K34"/>
    <mergeCell ref="B37:J37"/>
    <mergeCell ref="B38:K38"/>
    <mergeCell ref="B112:J112"/>
    <mergeCell ref="B113:J113"/>
    <mergeCell ref="K3:K6"/>
    <mergeCell ref="C4:J4"/>
    <mergeCell ref="C5:J5"/>
    <mergeCell ref="C6:J6"/>
    <mergeCell ref="B8:K8"/>
    <mergeCell ref="B3:B6"/>
    <mergeCell ref="C3:J3"/>
    <mergeCell ref="B16:J16"/>
    <mergeCell ref="B17:K17"/>
    <mergeCell ref="B29:J29"/>
    <mergeCell ref="B30:K30"/>
    <mergeCell ref="B33:J33"/>
  </mergeCells>
  <pageMargins left="0.7" right="0.7" top="0.75" bottom="0.75" header="0.3" footer="0.3"/>
  <pageSetup scale="4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view="pageBreakPreview" zoomScale="60" zoomScaleNormal="100" workbookViewId="0">
      <selection activeCell="I12" sqref="I12"/>
    </sheetView>
  </sheetViews>
  <sheetFormatPr defaultRowHeight="15"/>
  <cols>
    <col min="2" max="2" width="19.7109375" customWidth="1"/>
    <col min="3" max="3" width="55" customWidth="1"/>
    <col min="4" max="4" width="25.7109375" customWidth="1"/>
    <col min="5" max="5" width="20.140625" customWidth="1"/>
    <col min="6" max="6" width="25" customWidth="1"/>
    <col min="7" max="7" width="19.5703125" customWidth="1"/>
    <col min="8" max="8" width="13" customWidth="1"/>
    <col min="9" max="9" width="29.28515625" customWidth="1"/>
  </cols>
  <sheetData>
    <row r="1" spans="1:9" ht="21">
      <c r="A1" s="2"/>
      <c r="B1" s="6" t="s">
        <v>40</v>
      </c>
    </row>
    <row r="2" spans="1:9" ht="21.75" thickBot="1">
      <c r="A2" s="2"/>
      <c r="B2" s="6" t="s">
        <v>10</v>
      </c>
    </row>
    <row r="3" spans="1:9" ht="31.5" thickBot="1">
      <c r="A3" s="8" t="s">
        <v>1</v>
      </c>
      <c r="B3" s="9" t="s">
        <v>11</v>
      </c>
      <c r="C3" s="10" t="s">
        <v>3</v>
      </c>
      <c r="D3" s="13" t="s">
        <v>12</v>
      </c>
      <c r="E3" s="14" t="s">
        <v>4</v>
      </c>
      <c r="F3" s="12" t="s">
        <v>13</v>
      </c>
      <c r="G3" s="10" t="s">
        <v>5</v>
      </c>
      <c r="H3" s="9" t="s">
        <v>39</v>
      </c>
      <c r="I3" s="9" t="s">
        <v>34</v>
      </c>
    </row>
    <row r="4" spans="1:9" ht="62.25" customHeight="1" thickBot="1">
      <c r="A4" s="7" t="s">
        <v>8</v>
      </c>
      <c r="B4" s="72" t="s">
        <v>60</v>
      </c>
      <c r="C4" s="73" t="s">
        <v>61</v>
      </c>
      <c r="D4" s="39" t="s">
        <v>62</v>
      </c>
      <c r="E4" s="77" t="s">
        <v>63</v>
      </c>
      <c r="F4" s="40" t="s">
        <v>64</v>
      </c>
      <c r="G4" s="36" t="s">
        <v>57</v>
      </c>
      <c r="H4" s="37" t="s">
        <v>65</v>
      </c>
      <c r="I4" s="38">
        <v>32000000</v>
      </c>
    </row>
    <row r="5" spans="1:9" ht="62.25" customHeight="1" thickBot="1">
      <c r="A5" s="7"/>
      <c r="B5" s="72" t="s">
        <v>463</v>
      </c>
      <c r="C5" s="72" t="s">
        <v>464</v>
      </c>
      <c r="D5" s="74"/>
      <c r="E5" s="74" t="s">
        <v>466</v>
      </c>
      <c r="F5" s="40" t="s">
        <v>467</v>
      </c>
      <c r="G5" s="36" t="s">
        <v>230</v>
      </c>
      <c r="H5" s="37" t="s">
        <v>465</v>
      </c>
      <c r="I5" s="38">
        <v>410000</v>
      </c>
    </row>
    <row r="6" spans="1:9" ht="42" customHeight="1" thickBot="1">
      <c r="A6" s="7"/>
      <c r="B6" s="80" t="s">
        <v>288</v>
      </c>
      <c r="C6" s="78" t="s">
        <v>289</v>
      </c>
      <c r="D6" s="78"/>
      <c r="E6" s="79" t="s">
        <v>227</v>
      </c>
      <c r="F6" s="78" t="s">
        <v>224</v>
      </c>
      <c r="G6" s="85" t="s">
        <v>291</v>
      </c>
      <c r="H6" s="70">
        <v>44467</v>
      </c>
      <c r="I6" s="71">
        <v>27892589.666190475</v>
      </c>
    </row>
    <row r="7" spans="1:9" ht="45" customHeight="1" thickBot="1">
      <c r="A7" s="7">
        <v>3</v>
      </c>
      <c r="B7" s="81" t="s">
        <v>285</v>
      </c>
      <c r="C7" s="83" t="s">
        <v>286</v>
      </c>
      <c r="D7" s="86" t="s">
        <v>292</v>
      </c>
      <c r="E7" s="74" t="s">
        <v>293</v>
      </c>
      <c r="F7" s="87" t="s">
        <v>75</v>
      </c>
      <c r="G7" s="81" t="s">
        <v>230</v>
      </c>
      <c r="H7" s="84">
        <v>44554</v>
      </c>
      <c r="I7" s="75">
        <v>17458682.920000002</v>
      </c>
    </row>
    <row r="8" spans="1:9" ht="51" customHeight="1" thickBot="1">
      <c r="A8" s="7">
        <v>4</v>
      </c>
      <c r="B8" s="82" t="s">
        <v>82</v>
      </c>
      <c r="C8" s="81" t="s">
        <v>83</v>
      </c>
      <c r="D8" s="74" t="s">
        <v>294</v>
      </c>
      <c r="E8" s="74" t="s">
        <v>295</v>
      </c>
      <c r="F8" s="81" t="s">
        <v>75</v>
      </c>
      <c r="G8" s="40" t="s">
        <v>233</v>
      </c>
      <c r="H8" s="84">
        <v>42552</v>
      </c>
      <c r="I8" s="76">
        <v>8498485.7844372857</v>
      </c>
    </row>
    <row r="9" spans="1:9" ht="18.75" thickBot="1">
      <c r="A9" s="7"/>
      <c r="B9" s="3"/>
      <c r="C9" s="3"/>
      <c r="D9" s="3"/>
      <c r="E9" s="42" t="s">
        <v>66</v>
      </c>
      <c r="F9" s="43"/>
      <c r="G9" s="43"/>
      <c r="H9" s="44"/>
      <c r="I9" s="45">
        <f>SUM(I4:I8)</f>
        <v>86259758.370627761</v>
      </c>
    </row>
    <row r="11" spans="1:9">
      <c r="I11" s="109"/>
    </row>
  </sheetData>
  <conditionalFormatting sqref="D7:E8 D4:E4">
    <cfRule type="duplicateValues" dxfId="37" priority="21"/>
    <cfRule type="duplicateValues" dxfId="36" priority="22"/>
  </conditionalFormatting>
  <conditionalFormatting sqref="D7:D8 D4">
    <cfRule type="duplicateValues" dxfId="35" priority="20"/>
  </conditionalFormatting>
  <conditionalFormatting sqref="E7:E8 E4">
    <cfRule type="duplicateValues" dxfId="34" priority="19"/>
  </conditionalFormatting>
  <conditionalFormatting sqref="B7">
    <cfRule type="duplicateValues" dxfId="33" priority="17"/>
    <cfRule type="duplicateValues" dxfId="32" priority="18"/>
  </conditionalFormatting>
  <conditionalFormatting sqref="B7">
    <cfRule type="duplicateValues" dxfId="31" priority="16"/>
  </conditionalFormatting>
  <conditionalFormatting sqref="H7">
    <cfRule type="expression" dxfId="30" priority="15" stopIfTrue="1">
      <formula>IF(AND(ISERROR(DATEVALUE(TEXT(H7,"DD MMMM YYYY"))),H7&lt;&gt;""),TRUE,FALSE)</formula>
    </cfRule>
  </conditionalFormatting>
  <conditionalFormatting sqref="B8">
    <cfRule type="duplicateValues" dxfId="29" priority="13"/>
    <cfRule type="duplicateValues" dxfId="28" priority="14"/>
  </conditionalFormatting>
  <conditionalFormatting sqref="B8">
    <cfRule type="duplicateValues" dxfId="27" priority="12"/>
  </conditionalFormatting>
  <conditionalFormatting sqref="H8">
    <cfRule type="expression" dxfId="26" priority="11" stopIfTrue="1">
      <formula>IF(AND(ISERROR(DATEVALUE(TEXT(H8,"DD MMMM YYYY"))),H8&lt;&gt;""),TRUE,FALSE)</formula>
    </cfRule>
  </conditionalFormatting>
  <conditionalFormatting sqref="I8">
    <cfRule type="expression" dxfId="25" priority="10">
      <formula>(IF(ISNUMBER(I8),FALSE,IF(ISBLANK(I8),FALSE,TRUE)))</formula>
    </cfRule>
  </conditionalFormatting>
  <conditionalFormatting sqref="I6">
    <cfRule type="expression" dxfId="24" priority="5">
      <formula>(IF(ISNUMBER(I6),FALSE,IF(ISBLANK(I6),FALSE,TRUE)))</formula>
    </cfRule>
  </conditionalFormatting>
  <conditionalFormatting sqref="B6">
    <cfRule type="duplicateValues" dxfId="23" priority="8"/>
    <cfRule type="duplicateValues" dxfId="22" priority="9"/>
  </conditionalFormatting>
  <conditionalFormatting sqref="B6">
    <cfRule type="duplicateValues" dxfId="21" priority="7"/>
  </conditionalFormatting>
  <conditionalFormatting sqref="H6">
    <cfRule type="expression" dxfId="20" priority="6" stopIfTrue="1">
      <formula>IF(AND(ISERROR(DATEVALUE(TEXT(H6,"DD MMMM YYYY"))),H6&lt;&gt;""),TRUE,FALSE)</formula>
    </cfRule>
  </conditionalFormatting>
  <conditionalFormatting sqref="D5:E5">
    <cfRule type="duplicateValues" dxfId="19" priority="3"/>
    <cfRule type="duplicateValues" dxfId="18" priority="4"/>
  </conditionalFormatting>
  <conditionalFormatting sqref="D5">
    <cfRule type="duplicateValues" dxfId="17" priority="2"/>
  </conditionalFormatting>
  <conditionalFormatting sqref="E5">
    <cfRule type="duplicateValues" dxfId="16" priority="1"/>
  </conditionalFormatting>
  <dataValidations count="2">
    <dataValidation type="custom" allowBlank="1" showInputMessage="1" showErrorMessage="1" errorTitle="Umekosea" error="Tafadhali ingiza tarehe kwa usahihi. Mf. 12 Jul 2021. _x000a_Aidha, tarehe ya kununuliwa haiwezi kuwa kubwa zaidi ya tarehe ya kusajiliwa." sqref="H6:H8">
      <formula1>IF(H6&gt;G6,FALSE,TRUE)</formula1>
    </dataValidation>
    <dataValidation type="decimal" allowBlank="1" showInputMessage="1" showErrorMessage="1" errorTitle="Umekosea" error="Tafadhali ingiza tarakimu." sqref="I8 I6">
      <formula1>0</formula1>
      <formula2>999999999999</formula2>
    </dataValidation>
  </dataValidations>
  <pageMargins left="0.7" right="0.7" top="0.75" bottom="0.75" header="0.3" footer="0.3"/>
  <pageSetup scale="5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view="pageBreakPreview" zoomScale="60" workbookViewId="0">
      <selection activeCell="I4" sqref="I4"/>
    </sheetView>
  </sheetViews>
  <sheetFormatPr defaultRowHeight="15"/>
  <cols>
    <col min="2" max="2" width="22.85546875" customWidth="1"/>
    <col min="3" max="3" width="18.42578125" customWidth="1"/>
    <col min="4" max="4" width="22.28515625" customWidth="1"/>
    <col min="5" max="5" width="19.42578125" customWidth="1"/>
    <col min="6" max="6" width="16.140625" customWidth="1"/>
    <col min="7" max="7" width="13.85546875" customWidth="1"/>
    <col min="8" max="8" width="23.140625" customWidth="1"/>
    <col min="9" max="9" width="22.140625" customWidth="1"/>
  </cols>
  <sheetData>
    <row r="1" spans="1:9" ht="21.75" thickBot="1">
      <c r="A1" s="2"/>
      <c r="B1" s="6" t="s">
        <v>462</v>
      </c>
    </row>
    <row r="2" spans="1:9" ht="82.5" customHeight="1" thickBot="1">
      <c r="A2" s="30" t="s">
        <v>0</v>
      </c>
      <c r="B2" s="34" t="s">
        <v>14</v>
      </c>
      <c r="C2" s="34" t="s">
        <v>15</v>
      </c>
      <c r="D2" s="31" t="s">
        <v>16</v>
      </c>
      <c r="E2" s="34" t="s">
        <v>17</v>
      </c>
      <c r="F2" s="34" t="s">
        <v>18</v>
      </c>
      <c r="G2" s="31" t="s">
        <v>19</v>
      </c>
      <c r="H2" s="31" t="s">
        <v>20</v>
      </c>
      <c r="I2" s="31" t="s">
        <v>7</v>
      </c>
    </row>
    <row r="3" spans="1:9" ht="40.5" customHeight="1" thickBot="1">
      <c r="A3" s="4" t="s">
        <v>8</v>
      </c>
      <c r="B3" s="32" t="s">
        <v>67</v>
      </c>
      <c r="C3" s="11" t="s">
        <v>68</v>
      </c>
      <c r="D3" s="11" t="s">
        <v>69</v>
      </c>
      <c r="E3" s="28" t="s">
        <v>65</v>
      </c>
      <c r="F3" s="33" t="s">
        <v>70</v>
      </c>
      <c r="G3" s="27" t="s">
        <v>71</v>
      </c>
      <c r="H3" s="28" t="s">
        <v>65</v>
      </c>
      <c r="I3" s="29">
        <v>50000000</v>
      </c>
    </row>
    <row r="4" spans="1:9" ht="51.75" customHeight="1" thickBot="1">
      <c r="A4" s="4" t="s">
        <v>9</v>
      </c>
      <c r="B4" s="5"/>
      <c r="C4" s="5"/>
      <c r="D4" s="5"/>
      <c r="E4" s="16" t="s">
        <v>66</v>
      </c>
      <c r="F4" s="17"/>
      <c r="G4" s="17"/>
      <c r="H4" s="18"/>
      <c r="I4" s="19">
        <f>SUM(I3)</f>
        <v>50000000</v>
      </c>
    </row>
    <row r="5" spans="1:9">
      <c r="I5" s="22"/>
    </row>
    <row r="6" spans="1:9">
      <c r="I6" s="22"/>
    </row>
    <row r="7" spans="1:9">
      <c r="I7" s="22"/>
    </row>
    <row r="8" spans="1:9">
      <c r="I8" s="22"/>
    </row>
  </sheetData>
  <pageMargins left="0.7" right="0.7" top="0.75" bottom="0.75" header="0.3" footer="0.3"/>
  <pageSetup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view="pageBreakPreview" zoomScale="60" workbookViewId="0">
      <selection activeCell="I7" sqref="I7"/>
    </sheetView>
  </sheetViews>
  <sheetFormatPr defaultRowHeight="15"/>
  <cols>
    <col min="1" max="1" width="11.85546875" customWidth="1"/>
    <col min="2" max="2" width="37.7109375" customWidth="1"/>
    <col min="3" max="3" width="16.42578125" customWidth="1"/>
    <col min="4" max="4" width="31.7109375" customWidth="1"/>
    <col min="5" max="5" width="16.28515625" customWidth="1"/>
    <col min="6" max="6" width="15.7109375" customWidth="1"/>
    <col min="7" max="7" width="25.7109375" customWidth="1"/>
    <col min="8" max="8" width="18.85546875" customWidth="1"/>
    <col min="9" max="9" width="28.85546875" customWidth="1"/>
  </cols>
  <sheetData>
    <row r="1" spans="1:9" ht="21.75" thickBot="1">
      <c r="A1" s="2"/>
      <c r="B1" s="6" t="s">
        <v>41</v>
      </c>
    </row>
    <row r="2" spans="1:9" ht="54.75" thickBot="1">
      <c r="A2" s="30" t="s">
        <v>0</v>
      </c>
      <c r="B2" s="67" t="s">
        <v>21</v>
      </c>
      <c r="C2" s="48" t="s">
        <v>22</v>
      </c>
      <c r="D2" s="48" t="s">
        <v>23</v>
      </c>
      <c r="E2" s="48" t="s">
        <v>24</v>
      </c>
      <c r="F2" s="48" t="s">
        <v>25</v>
      </c>
      <c r="G2" s="31" t="s">
        <v>26</v>
      </c>
      <c r="H2" s="31" t="s">
        <v>27</v>
      </c>
      <c r="I2" s="31" t="s">
        <v>28</v>
      </c>
    </row>
    <row r="3" spans="1:9" ht="29.25" customHeight="1" thickBot="1">
      <c r="A3" s="66">
        <v>1</v>
      </c>
      <c r="B3" s="96" t="s">
        <v>72</v>
      </c>
      <c r="C3" s="97" t="s">
        <v>70</v>
      </c>
      <c r="D3" s="96" t="s">
        <v>76</v>
      </c>
      <c r="E3" s="98" t="s">
        <v>57</v>
      </c>
      <c r="F3" s="69" t="s">
        <v>70</v>
      </c>
      <c r="G3" s="11" t="s">
        <v>71</v>
      </c>
      <c r="H3" s="25" t="s">
        <v>65</v>
      </c>
      <c r="I3" s="26">
        <v>160000000</v>
      </c>
    </row>
    <row r="4" spans="1:9" ht="36.75" customHeight="1" thickBot="1">
      <c r="A4" s="66">
        <v>2</v>
      </c>
      <c r="B4" s="96" t="s">
        <v>73</v>
      </c>
      <c r="C4" s="97" t="s">
        <v>70</v>
      </c>
      <c r="D4" s="96" t="s">
        <v>76</v>
      </c>
      <c r="E4" s="98" t="s">
        <v>77</v>
      </c>
      <c r="F4" s="69" t="s">
        <v>70</v>
      </c>
      <c r="G4" s="11" t="s">
        <v>78</v>
      </c>
      <c r="H4" s="25" t="s">
        <v>65</v>
      </c>
      <c r="I4" s="26">
        <v>2500000</v>
      </c>
    </row>
    <row r="5" spans="1:9" ht="39" customHeight="1" thickBot="1">
      <c r="A5" s="66">
        <v>3</v>
      </c>
      <c r="B5" s="96" t="s">
        <v>74</v>
      </c>
      <c r="C5" s="97" t="s">
        <v>70</v>
      </c>
      <c r="D5" s="96" t="s">
        <v>76</v>
      </c>
      <c r="E5" s="98" t="s">
        <v>57</v>
      </c>
      <c r="F5" s="69" t="s">
        <v>70</v>
      </c>
      <c r="G5" s="11" t="s">
        <v>79</v>
      </c>
      <c r="H5" s="25" t="s">
        <v>65</v>
      </c>
      <c r="I5" s="26">
        <v>3000000</v>
      </c>
    </row>
    <row r="6" spans="1:9" ht="35.25" customHeight="1" thickBot="1">
      <c r="A6" s="66">
        <v>4</v>
      </c>
      <c r="B6" s="96" t="s">
        <v>75</v>
      </c>
      <c r="C6" s="97" t="s">
        <v>70</v>
      </c>
      <c r="D6" s="96" t="s">
        <v>76</v>
      </c>
      <c r="E6" s="98" t="s">
        <v>499</v>
      </c>
      <c r="F6" s="69" t="s">
        <v>70</v>
      </c>
      <c r="G6" s="27" t="s">
        <v>80</v>
      </c>
      <c r="H6" s="28" t="s">
        <v>65</v>
      </c>
      <c r="I6" s="29">
        <v>2000000</v>
      </c>
    </row>
    <row r="7" spans="1:9" ht="48" customHeight="1" thickBot="1">
      <c r="A7" s="4"/>
      <c r="B7" s="5"/>
      <c r="C7" s="5"/>
      <c r="D7" s="5"/>
      <c r="E7" s="5"/>
      <c r="F7" s="68" t="s">
        <v>66</v>
      </c>
      <c r="G7" s="15"/>
      <c r="H7" s="15"/>
      <c r="I7" s="20">
        <f>SUM(I3:I6)</f>
        <v>167500000</v>
      </c>
    </row>
  </sheetData>
  <pageMargins left="0.7" right="0.7" top="0.75" bottom="0.75" header="0.3" footer="0.3"/>
  <pageSetup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3"/>
  <sheetViews>
    <sheetView view="pageBreakPreview" topLeftCell="B84" zoomScale="60" zoomScaleNormal="100" workbookViewId="0">
      <selection activeCell="D104" sqref="D104"/>
    </sheetView>
  </sheetViews>
  <sheetFormatPr defaultRowHeight="15"/>
  <cols>
    <col min="2" max="2" width="25.7109375" customWidth="1"/>
    <col min="3" max="3" width="55.85546875" customWidth="1"/>
    <col min="4" max="4" width="44.85546875" customWidth="1"/>
    <col min="5" max="5" width="28.42578125" customWidth="1"/>
    <col min="6" max="6" width="35.5703125" customWidth="1"/>
    <col min="7" max="7" width="24.5703125" customWidth="1"/>
    <col min="8" max="8" width="18.28515625" customWidth="1"/>
    <col min="9" max="9" width="25.7109375" customWidth="1"/>
    <col min="10" max="10" width="11.5703125" bestFit="1" customWidth="1"/>
  </cols>
  <sheetData>
    <row r="1" spans="1:9" ht="21.75" thickBot="1">
      <c r="A1" s="2"/>
      <c r="B1" s="6" t="s">
        <v>42</v>
      </c>
    </row>
    <row r="2" spans="1:9" ht="36">
      <c r="A2" s="103" t="s">
        <v>0</v>
      </c>
      <c r="B2" s="104" t="s">
        <v>2</v>
      </c>
      <c r="C2" s="104" t="s">
        <v>29</v>
      </c>
      <c r="D2" s="104" t="s">
        <v>30</v>
      </c>
      <c r="E2" s="104" t="s">
        <v>31</v>
      </c>
      <c r="F2" s="104" t="s">
        <v>32</v>
      </c>
      <c r="G2" s="104" t="s">
        <v>33</v>
      </c>
      <c r="H2" s="104" t="s">
        <v>6</v>
      </c>
      <c r="I2" s="104" t="s">
        <v>34</v>
      </c>
    </row>
    <row r="3" spans="1:9" ht="33.75" customHeight="1">
      <c r="A3" s="99">
        <v>3</v>
      </c>
      <c r="B3" s="35" t="s">
        <v>86</v>
      </c>
      <c r="C3" s="24" t="s">
        <v>87</v>
      </c>
      <c r="D3" s="25" t="s">
        <v>215</v>
      </c>
      <c r="E3" s="100" t="s">
        <v>227</v>
      </c>
      <c r="F3" s="25" t="s">
        <v>534</v>
      </c>
      <c r="G3" s="25" t="s">
        <v>229</v>
      </c>
      <c r="H3" s="25" t="s">
        <v>65</v>
      </c>
      <c r="I3" s="41">
        <v>190000</v>
      </c>
    </row>
    <row r="4" spans="1:9" ht="33.75" customHeight="1">
      <c r="A4" s="99">
        <v>4</v>
      </c>
      <c r="B4" s="35" t="s">
        <v>88</v>
      </c>
      <c r="C4" s="24" t="s">
        <v>89</v>
      </c>
      <c r="D4" s="25" t="s">
        <v>215</v>
      </c>
      <c r="E4" s="100" t="s">
        <v>227</v>
      </c>
      <c r="F4" s="25" t="s">
        <v>534</v>
      </c>
      <c r="G4" s="25" t="s">
        <v>229</v>
      </c>
      <c r="H4" s="25" t="s">
        <v>65</v>
      </c>
      <c r="I4" s="41">
        <v>600000</v>
      </c>
    </row>
    <row r="5" spans="1:9" ht="33.75" customHeight="1">
      <c r="A5" s="99">
        <v>5</v>
      </c>
      <c r="B5" s="35" t="s">
        <v>90</v>
      </c>
      <c r="C5" s="24" t="s">
        <v>91</v>
      </c>
      <c r="D5" s="25" t="s">
        <v>215</v>
      </c>
      <c r="E5" s="100" t="s">
        <v>227</v>
      </c>
      <c r="F5" s="25" t="s">
        <v>535</v>
      </c>
      <c r="G5" s="25" t="s">
        <v>229</v>
      </c>
      <c r="H5" s="25" t="s">
        <v>65</v>
      </c>
      <c r="I5" s="41">
        <v>190000</v>
      </c>
    </row>
    <row r="6" spans="1:9" ht="33.75" customHeight="1">
      <c r="A6" s="99">
        <v>6</v>
      </c>
      <c r="B6" s="35" t="s">
        <v>92</v>
      </c>
      <c r="C6" s="24" t="s">
        <v>93</v>
      </c>
      <c r="D6" s="25" t="s">
        <v>215</v>
      </c>
      <c r="E6" s="100" t="s">
        <v>227</v>
      </c>
      <c r="F6" s="25" t="s">
        <v>535</v>
      </c>
      <c r="G6" s="25" t="s">
        <v>229</v>
      </c>
      <c r="H6" s="25" t="s">
        <v>65</v>
      </c>
      <c r="I6" s="41">
        <v>600000</v>
      </c>
    </row>
    <row r="7" spans="1:9" ht="33.75" customHeight="1">
      <c r="A7" s="99">
        <v>7</v>
      </c>
      <c r="B7" s="35" t="s">
        <v>94</v>
      </c>
      <c r="C7" s="24" t="s">
        <v>95</v>
      </c>
      <c r="D7" s="25" t="s">
        <v>215</v>
      </c>
      <c r="E7" s="100" t="s">
        <v>227</v>
      </c>
      <c r="F7" s="25" t="s">
        <v>535</v>
      </c>
      <c r="G7" s="25" t="s">
        <v>234</v>
      </c>
      <c r="H7" s="25" t="s">
        <v>65</v>
      </c>
      <c r="I7" s="41">
        <v>135000</v>
      </c>
    </row>
    <row r="8" spans="1:9" ht="33.75" customHeight="1">
      <c r="A8" s="99">
        <v>8</v>
      </c>
      <c r="B8" s="35" t="s">
        <v>96</v>
      </c>
      <c r="C8" s="24" t="s">
        <v>97</v>
      </c>
      <c r="D8" s="25" t="s">
        <v>215</v>
      </c>
      <c r="E8" s="100" t="s">
        <v>227</v>
      </c>
      <c r="F8" s="25" t="s">
        <v>536</v>
      </c>
      <c r="G8" s="25" t="s">
        <v>229</v>
      </c>
      <c r="H8" s="25" t="s">
        <v>65</v>
      </c>
      <c r="I8" s="41">
        <v>225000</v>
      </c>
    </row>
    <row r="9" spans="1:9" ht="33.75" customHeight="1">
      <c r="A9" s="99">
        <v>9</v>
      </c>
      <c r="B9" s="35" t="s">
        <v>98</v>
      </c>
      <c r="C9" s="24" t="s">
        <v>99</v>
      </c>
      <c r="D9" s="25" t="s">
        <v>215</v>
      </c>
      <c r="E9" s="100" t="s">
        <v>227</v>
      </c>
      <c r="F9" s="25" t="s">
        <v>215</v>
      </c>
      <c r="G9" s="25" t="s">
        <v>229</v>
      </c>
      <c r="H9" s="25" t="s">
        <v>65</v>
      </c>
      <c r="I9" s="41">
        <v>780000</v>
      </c>
    </row>
    <row r="10" spans="1:9" ht="33.75" customHeight="1">
      <c r="A10" s="99">
        <v>10</v>
      </c>
      <c r="B10" s="35" t="s">
        <v>100</v>
      </c>
      <c r="C10" s="24" t="s">
        <v>101</v>
      </c>
      <c r="D10" s="25" t="s">
        <v>215</v>
      </c>
      <c r="E10" s="100" t="s">
        <v>227</v>
      </c>
      <c r="F10" s="25" t="s">
        <v>215</v>
      </c>
      <c r="G10" s="25" t="s">
        <v>232</v>
      </c>
      <c r="H10" s="25" t="s">
        <v>65</v>
      </c>
      <c r="I10" s="41">
        <v>14000</v>
      </c>
    </row>
    <row r="11" spans="1:9" ht="33.75" customHeight="1">
      <c r="A11" s="99">
        <v>11</v>
      </c>
      <c r="B11" s="35" t="s">
        <v>102</v>
      </c>
      <c r="C11" s="24" t="s">
        <v>103</v>
      </c>
      <c r="D11" s="25" t="s">
        <v>215</v>
      </c>
      <c r="E11" s="100" t="s">
        <v>227</v>
      </c>
      <c r="F11" s="25" t="s">
        <v>215</v>
      </c>
      <c r="G11" s="25" t="s">
        <v>230</v>
      </c>
      <c r="H11" s="25" t="s">
        <v>560</v>
      </c>
      <c r="I11" s="41">
        <v>100000</v>
      </c>
    </row>
    <row r="12" spans="1:9" ht="33.75" customHeight="1">
      <c r="A12" s="99">
        <v>12</v>
      </c>
      <c r="B12" s="35" t="s">
        <v>104</v>
      </c>
      <c r="C12" s="24" t="s">
        <v>105</v>
      </c>
      <c r="D12" s="25" t="s">
        <v>215</v>
      </c>
      <c r="E12" s="100" t="s">
        <v>227</v>
      </c>
      <c r="F12" s="25" t="s">
        <v>216</v>
      </c>
      <c r="G12" s="25" t="s">
        <v>230</v>
      </c>
      <c r="H12" s="25" t="s">
        <v>560</v>
      </c>
      <c r="I12" s="41">
        <v>150000</v>
      </c>
    </row>
    <row r="13" spans="1:9" ht="33.75" customHeight="1">
      <c r="A13" s="99">
        <v>13</v>
      </c>
      <c r="B13" s="35" t="s">
        <v>106</v>
      </c>
      <c r="C13" s="24" t="s">
        <v>107</v>
      </c>
      <c r="D13" s="25" t="s">
        <v>215</v>
      </c>
      <c r="E13" s="100" t="s">
        <v>227</v>
      </c>
      <c r="F13" s="25" t="s">
        <v>217</v>
      </c>
      <c r="G13" s="25" t="s">
        <v>232</v>
      </c>
      <c r="H13" s="25" t="s">
        <v>65</v>
      </c>
      <c r="I13" s="41">
        <v>120000</v>
      </c>
    </row>
    <row r="14" spans="1:9" ht="33.75" customHeight="1">
      <c r="A14" s="99">
        <v>14</v>
      </c>
      <c r="B14" s="35" t="s">
        <v>108</v>
      </c>
      <c r="C14" s="24" t="s">
        <v>109</v>
      </c>
      <c r="D14" s="25" t="s">
        <v>215</v>
      </c>
      <c r="E14" s="100" t="s">
        <v>227</v>
      </c>
      <c r="F14" s="25" t="s">
        <v>217</v>
      </c>
      <c r="G14" s="25" t="s">
        <v>235</v>
      </c>
      <c r="H14" s="25" t="s">
        <v>65</v>
      </c>
      <c r="I14" s="41">
        <v>1620000</v>
      </c>
    </row>
    <row r="15" spans="1:9" ht="33.75" customHeight="1">
      <c r="A15" s="99">
        <v>15</v>
      </c>
      <c r="B15" s="35" t="s">
        <v>110</v>
      </c>
      <c r="C15" s="24" t="s">
        <v>111</v>
      </c>
      <c r="D15" s="25" t="s">
        <v>215</v>
      </c>
      <c r="E15" s="100" t="s">
        <v>227</v>
      </c>
      <c r="F15" s="25" t="s">
        <v>217</v>
      </c>
      <c r="G15" s="25" t="s">
        <v>229</v>
      </c>
      <c r="H15" s="25" t="s">
        <v>65</v>
      </c>
      <c r="I15" s="41">
        <v>780000</v>
      </c>
    </row>
    <row r="16" spans="1:9" ht="33.75" customHeight="1">
      <c r="A16" s="99">
        <v>16</v>
      </c>
      <c r="B16" s="35" t="s">
        <v>112</v>
      </c>
      <c r="C16" s="24" t="s">
        <v>113</v>
      </c>
      <c r="D16" s="25" t="s">
        <v>215</v>
      </c>
      <c r="E16" s="100" t="s">
        <v>227</v>
      </c>
      <c r="F16" s="25" t="s">
        <v>537</v>
      </c>
      <c r="G16" s="25" t="s">
        <v>229</v>
      </c>
      <c r="H16" s="25" t="s">
        <v>65</v>
      </c>
      <c r="I16" s="41">
        <v>780000</v>
      </c>
    </row>
    <row r="17" spans="1:9" ht="33.75" customHeight="1">
      <c r="A17" s="99">
        <v>17</v>
      </c>
      <c r="B17" s="35" t="s">
        <v>114</v>
      </c>
      <c r="C17" s="24" t="s">
        <v>115</v>
      </c>
      <c r="D17" s="25" t="s">
        <v>215</v>
      </c>
      <c r="E17" s="100" t="s">
        <v>227</v>
      </c>
      <c r="F17" s="25" t="s">
        <v>538</v>
      </c>
      <c r="G17" s="25" t="s">
        <v>229</v>
      </c>
      <c r="H17" s="25" t="s">
        <v>65</v>
      </c>
      <c r="I17" s="41">
        <v>780000</v>
      </c>
    </row>
    <row r="18" spans="1:9" ht="33.75" customHeight="1">
      <c r="A18" s="99">
        <v>18</v>
      </c>
      <c r="B18" s="35" t="s">
        <v>116</v>
      </c>
      <c r="C18" s="24" t="s">
        <v>117</v>
      </c>
      <c r="D18" s="25" t="s">
        <v>215</v>
      </c>
      <c r="E18" s="100" t="s">
        <v>227</v>
      </c>
      <c r="F18" s="25" t="s">
        <v>539</v>
      </c>
      <c r="G18" s="25" t="s">
        <v>229</v>
      </c>
      <c r="H18" s="25" t="s">
        <v>65</v>
      </c>
      <c r="I18" s="41">
        <v>780000</v>
      </c>
    </row>
    <row r="19" spans="1:9" ht="33.75" customHeight="1">
      <c r="A19" s="99">
        <v>19</v>
      </c>
      <c r="B19" s="35" t="s">
        <v>120</v>
      </c>
      <c r="C19" s="101" t="s">
        <v>121</v>
      </c>
      <c r="D19" s="25" t="s">
        <v>215</v>
      </c>
      <c r="E19" s="100" t="s">
        <v>227</v>
      </c>
      <c r="F19" s="102" t="s">
        <v>75</v>
      </c>
      <c r="G19" s="102" t="s">
        <v>232</v>
      </c>
      <c r="H19" s="25" t="s">
        <v>65</v>
      </c>
      <c r="I19" s="41">
        <v>3060000</v>
      </c>
    </row>
    <row r="20" spans="1:9" ht="33.75" customHeight="1">
      <c r="A20" s="99">
        <v>20</v>
      </c>
      <c r="B20" s="35" t="s">
        <v>122</v>
      </c>
      <c r="C20" s="24" t="s">
        <v>121</v>
      </c>
      <c r="D20" s="25" t="s">
        <v>215</v>
      </c>
      <c r="E20" s="100" t="s">
        <v>227</v>
      </c>
      <c r="F20" s="25" t="s">
        <v>75</v>
      </c>
      <c r="G20" s="25" t="s">
        <v>232</v>
      </c>
      <c r="H20" s="25" t="s">
        <v>65</v>
      </c>
      <c r="I20" s="41">
        <v>3060000</v>
      </c>
    </row>
    <row r="21" spans="1:9" ht="33.75" customHeight="1">
      <c r="A21" s="99">
        <v>21</v>
      </c>
      <c r="B21" s="35" t="s">
        <v>127</v>
      </c>
      <c r="C21" s="24" t="s">
        <v>128</v>
      </c>
      <c r="D21" s="25" t="s">
        <v>215</v>
      </c>
      <c r="E21" s="100" t="s">
        <v>227</v>
      </c>
      <c r="F21" s="25" t="s">
        <v>540</v>
      </c>
      <c r="G21" s="25" t="s">
        <v>229</v>
      </c>
      <c r="H21" s="25" t="s">
        <v>65</v>
      </c>
      <c r="I21" s="41">
        <v>543132.7518244019</v>
      </c>
    </row>
    <row r="22" spans="1:9" ht="33.75" customHeight="1">
      <c r="A22" s="99">
        <v>22</v>
      </c>
      <c r="B22" s="35" t="s">
        <v>129</v>
      </c>
      <c r="C22" s="24" t="s">
        <v>130</v>
      </c>
      <c r="D22" s="25" t="s">
        <v>215</v>
      </c>
      <c r="E22" s="100" t="s">
        <v>227</v>
      </c>
      <c r="F22" s="25" t="s">
        <v>536</v>
      </c>
      <c r="G22" s="25" t="s">
        <v>232</v>
      </c>
      <c r="H22" s="25" t="s">
        <v>65</v>
      </c>
      <c r="I22" s="41">
        <v>157287.31274552815</v>
      </c>
    </row>
    <row r="23" spans="1:9" ht="33.75" customHeight="1">
      <c r="A23" s="99">
        <v>23</v>
      </c>
      <c r="B23" s="35" t="s">
        <v>131</v>
      </c>
      <c r="C23" s="24" t="s">
        <v>132</v>
      </c>
      <c r="D23" s="25" t="s">
        <v>215</v>
      </c>
      <c r="E23" s="100" t="s">
        <v>227</v>
      </c>
      <c r="F23" s="25" t="s">
        <v>541</v>
      </c>
      <c r="G23" s="25" t="s">
        <v>229</v>
      </c>
      <c r="H23" s="25" t="s">
        <v>65</v>
      </c>
      <c r="I23" s="41">
        <v>319489.85401435406</v>
      </c>
    </row>
    <row r="24" spans="1:9" ht="33.75" customHeight="1">
      <c r="A24" s="99">
        <v>24</v>
      </c>
      <c r="B24" s="35" t="s">
        <v>133</v>
      </c>
      <c r="C24" s="24" t="s">
        <v>132</v>
      </c>
      <c r="D24" s="25" t="s">
        <v>215</v>
      </c>
      <c r="E24" s="100" t="s">
        <v>227</v>
      </c>
      <c r="F24" s="25" t="s">
        <v>217</v>
      </c>
      <c r="G24" s="25" t="s">
        <v>229</v>
      </c>
      <c r="H24" s="25" t="s">
        <v>65</v>
      </c>
      <c r="I24" s="41">
        <v>319489.85401435406</v>
      </c>
    </row>
    <row r="25" spans="1:9" ht="33.75" customHeight="1">
      <c r="A25" s="99">
        <v>25</v>
      </c>
      <c r="B25" s="35" t="s">
        <v>134</v>
      </c>
      <c r="C25" s="24" t="s">
        <v>135</v>
      </c>
      <c r="D25" s="25" t="s">
        <v>215</v>
      </c>
      <c r="E25" s="100" t="s">
        <v>227</v>
      </c>
      <c r="F25" s="25" t="s">
        <v>541</v>
      </c>
      <c r="G25" s="25" t="s">
        <v>229</v>
      </c>
      <c r="H25" s="25" t="s">
        <v>65</v>
      </c>
      <c r="I25" s="41">
        <v>242812.28905090911</v>
      </c>
    </row>
    <row r="26" spans="1:9" ht="33.75" customHeight="1">
      <c r="A26" s="99">
        <v>26</v>
      </c>
      <c r="B26" s="35" t="s">
        <v>144</v>
      </c>
      <c r="C26" s="24" t="s">
        <v>145</v>
      </c>
      <c r="D26" s="25" t="s">
        <v>215</v>
      </c>
      <c r="E26" s="100" t="s">
        <v>227</v>
      </c>
      <c r="F26" s="25" t="s">
        <v>542</v>
      </c>
      <c r="G26" s="25" t="s">
        <v>230</v>
      </c>
      <c r="H26" s="25" t="s">
        <v>561</v>
      </c>
      <c r="I26" s="41">
        <v>900000</v>
      </c>
    </row>
    <row r="27" spans="1:9" ht="33.75" customHeight="1">
      <c r="A27" s="99">
        <v>27</v>
      </c>
      <c r="B27" s="35" t="s">
        <v>146</v>
      </c>
      <c r="C27" s="24" t="s">
        <v>147</v>
      </c>
      <c r="D27" s="25" t="s">
        <v>215</v>
      </c>
      <c r="E27" s="100" t="s">
        <v>227</v>
      </c>
      <c r="F27" s="25" t="s">
        <v>219</v>
      </c>
      <c r="G27" s="25" t="s">
        <v>231</v>
      </c>
      <c r="H27" s="25" t="s">
        <v>561</v>
      </c>
      <c r="I27" s="41">
        <v>399000</v>
      </c>
    </row>
    <row r="28" spans="1:9" ht="33.75" customHeight="1">
      <c r="A28" s="99">
        <v>28</v>
      </c>
      <c r="B28" s="35" t="s">
        <v>148</v>
      </c>
      <c r="C28" s="24" t="s">
        <v>149</v>
      </c>
      <c r="D28" s="25" t="s">
        <v>215</v>
      </c>
      <c r="E28" s="100" t="s">
        <v>227</v>
      </c>
      <c r="F28" s="25" t="s">
        <v>543</v>
      </c>
      <c r="G28" s="25" t="s">
        <v>559</v>
      </c>
      <c r="H28" s="25" t="s">
        <v>65</v>
      </c>
      <c r="I28" s="41">
        <v>117965.48455914612</v>
      </c>
    </row>
    <row r="29" spans="1:9" ht="33.75" customHeight="1">
      <c r="A29" s="99">
        <v>29</v>
      </c>
      <c r="B29" s="35" t="s">
        <v>150</v>
      </c>
      <c r="C29" s="24" t="s">
        <v>151</v>
      </c>
      <c r="D29" s="25" t="s">
        <v>215</v>
      </c>
      <c r="E29" s="100" t="s">
        <v>227</v>
      </c>
      <c r="F29" s="25" t="s">
        <v>543</v>
      </c>
      <c r="G29" s="25" t="s">
        <v>559</v>
      </c>
      <c r="H29" s="25" t="s">
        <v>65</v>
      </c>
      <c r="I29" s="41">
        <v>242812.28905090911</v>
      </c>
    </row>
    <row r="30" spans="1:9" ht="33.75" customHeight="1">
      <c r="A30" s="99">
        <v>30</v>
      </c>
      <c r="B30" s="35" t="s">
        <v>152</v>
      </c>
      <c r="C30" s="24" t="s">
        <v>153</v>
      </c>
      <c r="D30" s="25" t="s">
        <v>215</v>
      </c>
      <c r="E30" s="100" t="s">
        <v>227</v>
      </c>
      <c r="F30" s="25" t="s">
        <v>544</v>
      </c>
      <c r="G30" s="25" t="s">
        <v>229</v>
      </c>
      <c r="H30" s="25" t="s">
        <v>65</v>
      </c>
      <c r="I30" s="41">
        <v>255591.88321148325</v>
      </c>
    </row>
    <row r="31" spans="1:9" ht="33.75" customHeight="1">
      <c r="A31" s="99">
        <v>31</v>
      </c>
      <c r="B31" s="35" t="s">
        <v>154</v>
      </c>
      <c r="C31" s="24" t="s">
        <v>155</v>
      </c>
      <c r="D31" s="25" t="s">
        <v>215</v>
      </c>
      <c r="E31" s="100" t="s">
        <v>227</v>
      </c>
      <c r="F31" s="25" t="s">
        <v>545</v>
      </c>
      <c r="G31" s="25" t="s">
        <v>229</v>
      </c>
      <c r="H31" s="25" t="s">
        <v>65</v>
      </c>
      <c r="I31" s="41">
        <v>191693.91240861244</v>
      </c>
    </row>
    <row r="32" spans="1:9" ht="33.75" customHeight="1">
      <c r="A32" s="99">
        <v>32</v>
      </c>
      <c r="B32" s="35" t="s">
        <v>158</v>
      </c>
      <c r="C32" s="24" t="s">
        <v>159</v>
      </c>
      <c r="D32" s="25" t="s">
        <v>215</v>
      </c>
      <c r="E32" s="100" t="s">
        <v>227</v>
      </c>
      <c r="F32" s="25" t="s">
        <v>220</v>
      </c>
      <c r="G32" s="25" t="s">
        <v>233</v>
      </c>
      <c r="H32" s="25" t="s">
        <v>65</v>
      </c>
      <c r="I32" s="41">
        <v>19660.914093191019</v>
      </c>
    </row>
    <row r="33" spans="1:9" ht="33.75" customHeight="1">
      <c r="A33" s="99">
        <v>33</v>
      </c>
      <c r="B33" s="35" t="s">
        <v>160</v>
      </c>
      <c r="C33" s="24" t="s">
        <v>161</v>
      </c>
      <c r="D33" s="25" t="s">
        <v>215</v>
      </c>
      <c r="E33" s="100" t="s">
        <v>227</v>
      </c>
      <c r="F33" s="25" t="s">
        <v>546</v>
      </c>
      <c r="G33" s="25" t="s">
        <v>229</v>
      </c>
      <c r="H33" s="25" t="s">
        <v>65</v>
      </c>
      <c r="I33" s="41">
        <v>287540.86861291865</v>
      </c>
    </row>
    <row r="34" spans="1:9" ht="33.75" customHeight="1">
      <c r="A34" s="99">
        <v>34</v>
      </c>
      <c r="B34" s="35" t="s">
        <v>162</v>
      </c>
      <c r="C34" s="24" t="s">
        <v>163</v>
      </c>
      <c r="D34" s="25" t="s">
        <v>215</v>
      </c>
      <c r="E34" s="100" t="s">
        <v>227</v>
      </c>
      <c r="F34" s="25" t="s">
        <v>547</v>
      </c>
      <c r="G34" s="25" t="s">
        <v>232</v>
      </c>
      <c r="H34" s="25" t="s">
        <v>65</v>
      </c>
      <c r="I34" s="41">
        <v>157287.31274552815</v>
      </c>
    </row>
    <row r="35" spans="1:9" ht="33.75" customHeight="1">
      <c r="A35" s="99">
        <v>35</v>
      </c>
      <c r="B35" s="35" t="s">
        <v>164</v>
      </c>
      <c r="C35" s="24" t="s">
        <v>165</v>
      </c>
      <c r="D35" s="25" t="s">
        <v>215</v>
      </c>
      <c r="E35" s="100" t="s">
        <v>227</v>
      </c>
      <c r="F35" s="25" t="s">
        <v>547</v>
      </c>
      <c r="G35" s="25" t="s">
        <v>229</v>
      </c>
      <c r="H35" s="25" t="s">
        <v>65</v>
      </c>
      <c r="I35" s="41">
        <v>191693.91240861244</v>
      </c>
    </row>
    <row r="36" spans="1:9" ht="33.75" customHeight="1">
      <c r="A36" s="99">
        <v>36</v>
      </c>
      <c r="B36" s="35" t="s">
        <v>166</v>
      </c>
      <c r="C36" s="24" t="s">
        <v>167</v>
      </c>
      <c r="D36" s="25" t="s">
        <v>215</v>
      </c>
      <c r="E36" s="100" t="s">
        <v>227</v>
      </c>
      <c r="F36" s="25" t="s">
        <v>545</v>
      </c>
      <c r="G36" s="25" t="s">
        <v>229</v>
      </c>
      <c r="H36" s="25" t="s">
        <v>65</v>
      </c>
      <c r="I36" s="41">
        <v>191693.91240861244</v>
      </c>
    </row>
    <row r="37" spans="1:9" ht="33.75" customHeight="1">
      <c r="A37" s="99">
        <v>37</v>
      </c>
      <c r="B37" s="35" t="s">
        <v>171</v>
      </c>
      <c r="C37" s="24" t="s">
        <v>172</v>
      </c>
      <c r="D37" s="25" t="s">
        <v>215</v>
      </c>
      <c r="E37" s="100" t="s">
        <v>227</v>
      </c>
      <c r="F37" s="25" t="s">
        <v>548</v>
      </c>
      <c r="G37" s="25" t="s">
        <v>232</v>
      </c>
      <c r="H37" s="25" t="s">
        <v>65</v>
      </c>
      <c r="I37" s="41">
        <v>117965.48455914612</v>
      </c>
    </row>
    <row r="38" spans="1:9" ht="33.75" customHeight="1">
      <c r="A38" s="99">
        <v>38</v>
      </c>
      <c r="B38" s="35" t="s">
        <v>173</v>
      </c>
      <c r="C38" s="24" t="s">
        <v>174</v>
      </c>
      <c r="D38" s="25" t="s">
        <v>215</v>
      </c>
      <c r="E38" s="100" t="s">
        <v>227</v>
      </c>
      <c r="F38" s="25" t="s">
        <v>219</v>
      </c>
      <c r="G38" s="25" t="s">
        <v>229</v>
      </c>
      <c r="H38" s="25" t="s">
        <v>65</v>
      </c>
      <c r="I38" s="41">
        <v>223642.89781004784</v>
      </c>
    </row>
    <row r="39" spans="1:9" ht="33.75" customHeight="1">
      <c r="A39" s="99">
        <v>39</v>
      </c>
      <c r="B39" s="35" t="s">
        <v>175</v>
      </c>
      <c r="C39" s="24" t="s">
        <v>176</v>
      </c>
      <c r="D39" s="25" t="s">
        <v>215</v>
      </c>
      <c r="E39" s="100" t="s">
        <v>227</v>
      </c>
      <c r="F39" s="25" t="s">
        <v>221</v>
      </c>
      <c r="G39" s="25" t="s">
        <v>232</v>
      </c>
      <c r="H39" s="25" t="s">
        <v>65</v>
      </c>
      <c r="I39" s="41">
        <v>117965.48455914612</v>
      </c>
    </row>
    <row r="40" spans="1:9" ht="33.75" customHeight="1">
      <c r="A40" s="99">
        <v>40</v>
      </c>
      <c r="B40" s="35" t="s">
        <v>179</v>
      </c>
      <c r="C40" s="24" t="s">
        <v>180</v>
      </c>
      <c r="D40" s="25" t="s">
        <v>215</v>
      </c>
      <c r="E40" s="100" t="s">
        <v>227</v>
      </c>
      <c r="F40" s="25" t="s">
        <v>222</v>
      </c>
      <c r="G40" s="25" t="s">
        <v>229</v>
      </c>
      <c r="H40" s="25" t="s">
        <v>65</v>
      </c>
      <c r="I40" s="41">
        <v>511183.7664229665</v>
      </c>
    </row>
    <row r="41" spans="1:9" ht="33.75" customHeight="1">
      <c r="A41" s="99">
        <v>41</v>
      </c>
      <c r="B41" s="35" t="s">
        <v>181</v>
      </c>
      <c r="C41" s="24" t="s">
        <v>182</v>
      </c>
      <c r="D41" s="25" t="s">
        <v>215</v>
      </c>
      <c r="E41" s="100" t="s">
        <v>227</v>
      </c>
      <c r="F41" s="25" t="s">
        <v>218</v>
      </c>
      <c r="G41" s="25" t="s">
        <v>229</v>
      </c>
      <c r="H41" s="25" t="s">
        <v>65</v>
      </c>
      <c r="I41" s="41">
        <v>511183.7664229665</v>
      </c>
    </row>
    <row r="42" spans="1:9" ht="33.75" customHeight="1">
      <c r="A42" s="99">
        <v>42</v>
      </c>
      <c r="B42" s="35" t="s">
        <v>183</v>
      </c>
      <c r="C42" s="24" t="s">
        <v>184</v>
      </c>
      <c r="D42" s="25" t="s">
        <v>215</v>
      </c>
      <c r="E42" s="100" t="s">
        <v>227</v>
      </c>
      <c r="F42" s="25" t="s">
        <v>540</v>
      </c>
      <c r="G42" s="25" t="s">
        <v>232</v>
      </c>
      <c r="H42" s="25" t="s">
        <v>65</v>
      </c>
      <c r="I42" s="41">
        <v>176948.22683871919</v>
      </c>
    </row>
    <row r="43" spans="1:9" ht="33.75" customHeight="1">
      <c r="A43" s="99">
        <v>43</v>
      </c>
      <c r="B43" s="35" t="s">
        <v>185</v>
      </c>
      <c r="C43" s="24" t="s">
        <v>186</v>
      </c>
      <c r="D43" s="25" t="s">
        <v>215</v>
      </c>
      <c r="E43" s="100" t="s">
        <v>227</v>
      </c>
      <c r="F43" s="25" t="s">
        <v>218</v>
      </c>
      <c r="G43" s="25" t="s">
        <v>232</v>
      </c>
      <c r="H43" s="25" t="s">
        <v>65</v>
      </c>
      <c r="I43" s="41">
        <v>294913.71139786532</v>
      </c>
    </row>
    <row r="44" spans="1:9" ht="33.75" customHeight="1">
      <c r="A44" s="99">
        <v>44</v>
      </c>
      <c r="B44" s="35" t="s">
        <v>187</v>
      </c>
      <c r="C44" s="24" t="s">
        <v>188</v>
      </c>
      <c r="D44" s="25" t="s">
        <v>215</v>
      </c>
      <c r="E44" s="100" t="s">
        <v>227</v>
      </c>
      <c r="F44" s="25" t="s">
        <v>218</v>
      </c>
      <c r="G44" s="25" t="s">
        <v>232</v>
      </c>
      <c r="H44" s="25" t="s">
        <v>65</v>
      </c>
      <c r="I44" s="41">
        <v>294913.71139786532</v>
      </c>
    </row>
    <row r="45" spans="1:9" ht="33.75" customHeight="1">
      <c r="A45" s="99">
        <v>45</v>
      </c>
      <c r="B45" s="35" t="s">
        <v>189</v>
      </c>
      <c r="C45" s="24" t="s">
        <v>190</v>
      </c>
      <c r="D45" s="25" t="s">
        <v>215</v>
      </c>
      <c r="E45" s="100" t="s">
        <v>227</v>
      </c>
      <c r="F45" s="25" t="s">
        <v>218</v>
      </c>
      <c r="G45" s="25" t="s">
        <v>232</v>
      </c>
      <c r="H45" s="25" t="s">
        <v>65</v>
      </c>
      <c r="I45" s="41">
        <v>294913.71139786532</v>
      </c>
    </row>
    <row r="46" spans="1:9" ht="33.75" customHeight="1">
      <c r="A46" s="99">
        <v>46</v>
      </c>
      <c r="B46" s="35" t="s">
        <v>191</v>
      </c>
      <c r="C46" s="24" t="s">
        <v>190</v>
      </c>
      <c r="D46" s="25" t="s">
        <v>215</v>
      </c>
      <c r="E46" s="100" t="s">
        <v>227</v>
      </c>
      <c r="F46" s="25" t="s">
        <v>218</v>
      </c>
      <c r="G46" s="25" t="s">
        <v>232</v>
      </c>
      <c r="H46" s="25" t="s">
        <v>65</v>
      </c>
      <c r="I46" s="41">
        <v>294913.71139786532</v>
      </c>
    </row>
    <row r="47" spans="1:9" ht="33.75" customHeight="1">
      <c r="A47" s="99">
        <v>47</v>
      </c>
      <c r="B47" s="35" t="s">
        <v>192</v>
      </c>
      <c r="C47" s="24" t="s">
        <v>193</v>
      </c>
      <c r="D47" s="25" t="s">
        <v>215</v>
      </c>
      <c r="E47" s="100" t="s">
        <v>227</v>
      </c>
      <c r="F47" s="25" t="s">
        <v>218</v>
      </c>
      <c r="G47" s="25" t="s">
        <v>232</v>
      </c>
      <c r="H47" s="25" t="s">
        <v>65</v>
      </c>
      <c r="I47" s="41">
        <v>294913.71139786532</v>
      </c>
    </row>
    <row r="48" spans="1:9" ht="33.75" customHeight="1">
      <c r="A48" s="99">
        <v>48</v>
      </c>
      <c r="B48" s="35" t="s">
        <v>194</v>
      </c>
      <c r="C48" s="24" t="s">
        <v>195</v>
      </c>
      <c r="D48" s="25" t="s">
        <v>215</v>
      </c>
      <c r="E48" s="100" t="s">
        <v>227</v>
      </c>
      <c r="F48" s="25" t="s">
        <v>218</v>
      </c>
      <c r="G48" s="25" t="s">
        <v>232</v>
      </c>
      <c r="H48" s="25" t="s">
        <v>65</v>
      </c>
      <c r="I48" s="41">
        <v>294913.71139786532</v>
      </c>
    </row>
    <row r="49" spans="1:9" ht="33.75" customHeight="1">
      <c r="A49" s="99">
        <v>49</v>
      </c>
      <c r="B49" s="35" t="s">
        <v>196</v>
      </c>
      <c r="C49" s="24" t="s">
        <v>197</v>
      </c>
      <c r="D49" s="25" t="s">
        <v>215</v>
      </c>
      <c r="E49" s="100" t="s">
        <v>227</v>
      </c>
      <c r="F49" s="25" t="s">
        <v>223</v>
      </c>
      <c r="G49" s="25" t="s">
        <v>233</v>
      </c>
      <c r="H49" s="25" t="s">
        <v>562</v>
      </c>
      <c r="I49" s="41">
        <v>400000</v>
      </c>
    </row>
    <row r="50" spans="1:9" ht="33.75" customHeight="1">
      <c r="A50" s="99">
        <v>50</v>
      </c>
      <c r="B50" s="35" t="s">
        <v>198</v>
      </c>
      <c r="C50" s="24" t="s">
        <v>199</v>
      </c>
      <c r="D50" s="25" t="s">
        <v>215</v>
      </c>
      <c r="E50" s="100" t="s">
        <v>227</v>
      </c>
      <c r="F50" s="25" t="s">
        <v>224</v>
      </c>
      <c r="G50" s="25" t="s">
        <v>233</v>
      </c>
      <c r="H50" s="25" t="s">
        <v>562</v>
      </c>
      <c r="I50" s="41">
        <v>100000</v>
      </c>
    </row>
    <row r="51" spans="1:9" ht="33.75" customHeight="1">
      <c r="A51" s="99">
        <v>51</v>
      </c>
      <c r="B51" s="35" t="s">
        <v>200</v>
      </c>
      <c r="C51" s="24" t="s">
        <v>201</v>
      </c>
      <c r="D51" s="25" t="s">
        <v>215</v>
      </c>
      <c r="E51" s="100" t="s">
        <v>227</v>
      </c>
      <c r="F51" s="25" t="s">
        <v>224</v>
      </c>
      <c r="G51" s="25" t="s">
        <v>233</v>
      </c>
      <c r="H51" s="25" t="s">
        <v>562</v>
      </c>
      <c r="I51" s="41">
        <v>150000</v>
      </c>
    </row>
    <row r="52" spans="1:9" ht="33.75" customHeight="1">
      <c r="A52" s="99">
        <v>52</v>
      </c>
      <c r="B52" s="35" t="s">
        <v>202</v>
      </c>
      <c r="C52" s="24" t="s">
        <v>203</v>
      </c>
      <c r="D52" s="25" t="s">
        <v>215</v>
      </c>
      <c r="E52" s="100" t="s">
        <v>227</v>
      </c>
      <c r="F52" s="25" t="s">
        <v>225</v>
      </c>
      <c r="G52" s="25" t="s">
        <v>233</v>
      </c>
      <c r="H52" s="25" t="s">
        <v>562</v>
      </c>
      <c r="I52" s="41">
        <v>200000</v>
      </c>
    </row>
    <row r="53" spans="1:9" ht="33.75" customHeight="1">
      <c r="A53" s="99">
        <v>53</v>
      </c>
      <c r="B53" s="35" t="s">
        <v>204</v>
      </c>
      <c r="C53" s="24" t="s">
        <v>205</v>
      </c>
      <c r="D53" s="25" t="s">
        <v>215</v>
      </c>
      <c r="E53" s="100" t="s">
        <v>227</v>
      </c>
      <c r="F53" s="25" t="s">
        <v>226</v>
      </c>
      <c r="G53" s="25" t="s">
        <v>230</v>
      </c>
      <c r="H53" s="25" t="s">
        <v>563</v>
      </c>
      <c r="I53" s="41">
        <v>100000</v>
      </c>
    </row>
    <row r="54" spans="1:9" ht="33.75" customHeight="1">
      <c r="A54" s="99">
        <v>54</v>
      </c>
      <c r="B54" s="35" t="s">
        <v>206</v>
      </c>
      <c r="C54" s="24" t="s">
        <v>205</v>
      </c>
      <c r="D54" s="25" t="s">
        <v>215</v>
      </c>
      <c r="E54" s="100" t="s">
        <v>227</v>
      </c>
      <c r="F54" s="25" t="s">
        <v>226</v>
      </c>
      <c r="G54" s="25" t="s">
        <v>230</v>
      </c>
      <c r="H54" s="25" t="s">
        <v>563</v>
      </c>
      <c r="I54" s="41">
        <v>100000</v>
      </c>
    </row>
    <row r="55" spans="1:9" ht="33.75" customHeight="1">
      <c r="A55" s="99">
        <v>55</v>
      </c>
      <c r="B55" s="35" t="s">
        <v>207</v>
      </c>
      <c r="C55" s="24" t="s">
        <v>205</v>
      </c>
      <c r="D55" s="25" t="s">
        <v>215</v>
      </c>
      <c r="E55" s="100" t="s">
        <v>227</v>
      </c>
      <c r="F55" s="25" t="s">
        <v>226</v>
      </c>
      <c r="G55" s="25" t="s">
        <v>230</v>
      </c>
      <c r="H55" s="25" t="s">
        <v>563</v>
      </c>
      <c r="I55" s="41">
        <v>100000</v>
      </c>
    </row>
    <row r="56" spans="1:9" ht="33.75" customHeight="1">
      <c r="A56" s="99">
        <v>56</v>
      </c>
      <c r="B56" s="35" t="s">
        <v>208</v>
      </c>
      <c r="C56" s="24" t="s">
        <v>209</v>
      </c>
      <c r="D56" s="25" t="s">
        <v>215</v>
      </c>
      <c r="E56" s="100" t="s">
        <v>227</v>
      </c>
      <c r="F56" s="25" t="s">
        <v>549</v>
      </c>
      <c r="G56" s="25" t="s">
        <v>230</v>
      </c>
      <c r="H56" s="25" t="s">
        <v>564</v>
      </c>
      <c r="I56" s="41">
        <v>10394762</v>
      </c>
    </row>
    <row r="57" spans="1:9" ht="33.75" customHeight="1">
      <c r="A57" s="99">
        <v>57</v>
      </c>
      <c r="B57" s="35" t="s">
        <v>210</v>
      </c>
      <c r="C57" s="24" t="s">
        <v>211</v>
      </c>
      <c r="D57" s="25" t="s">
        <v>215</v>
      </c>
      <c r="E57" s="100" t="s">
        <v>227</v>
      </c>
      <c r="F57" s="25" t="s">
        <v>550</v>
      </c>
      <c r="G57" s="25" t="s">
        <v>230</v>
      </c>
      <c r="H57" s="25" t="s">
        <v>561</v>
      </c>
      <c r="I57" s="41">
        <v>1370688</v>
      </c>
    </row>
    <row r="58" spans="1:9" ht="33.75" customHeight="1">
      <c r="A58" s="99">
        <v>58</v>
      </c>
      <c r="B58" s="35" t="s">
        <v>212</v>
      </c>
      <c r="C58" s="24" t="s">
        <v>205</v>
      </c>
      <c r="D58" s="25" t="s">
        <v>215</v>
      </c>
      <c r="E58" s="100" t="s">
        <v>227</v>
      </c>
      <c r="F58" s="25" t="s">
        <v>218</v>
      </c>
      <c r="G58" s="25" t="s">
        <v>230</v>
      </c>
      <c r="H58" s="25" t="s">
        <v>561</v>
      </c>
      <c r="I58" s="41">
        <v>100000</v>
      </c>
    </row>
    <row r="59" spans="1:9" ht="33.75" customHeight="1">
      <c r="A59" s="99">
        <v>59</v>
      </c>
      <c r="B59" s="35" t="s">
        <v>237</v>
      </c>
      <c r="C59" s="24" t="s">
        <v>236</v>
      </c>
      <c r="D59" s="25" t="s">
        <v>215</v>
      </c>
      <c r="E59" s="100" t="s">
        <v>227</v>
      </c>
      <c r="F59" s="25" t="s">
        <v>75</v>
      </c>
      <c r="G59" s="25" t="s">
        <v>230</v>
      </c>
      <c r="H59" s="25" t="s">
        <v>564</v>
      </c>
      <c r="I59" s="41">
        <v>67400000</v>
      </c>
    </row>
    <row r="60" spans="1:9" ht="33.75" customHeight="1">
      <c r="A60" s="99">
        <v>60</v>
      </c>
      <c r="B60" s="35" t="s">
        <v>500</v>
      </c>
      <c r="C60" s="24" t="s">
        <v>501</v>
      </c>
      <c r="D60" s="25" t="s">
        <v>215</v>
      </c>
      <c r="E60" s="100" t="s">
        <v>227</v>
      </c>
      <c r="F60" s="25" t="s">
        <v>541</v>
      </c>
      <c r="G60" s="25" t="s">
        <v>230</v>
      </c>
      <c r="H60" s="25" t="s">
        <v>465</v>
      </c>
      <c r="I60" s="41">
        <v>2374431</v>
      </c>
    </row>
    <row r="61" spans="1:9" ht="33.75" customHeight="1">
      <c r="A61" s="99">
        <v>61</v>
      </c>
      <c r="B61" s="35"/>
      <c r="C61" s="24" t="s">
        <v>502</v>
      </c>
      <c r="D61" s="25" t="s">
        <v>215</v>
      </c>
      <c r="E61" s="100" t="s">
        <v>227</v>
      </c>
      <c r="F61" s="25" t="s">
        <v>541</v>
      </c>
      <c r="G61" s="25" t="s">
        <v>230</v>
      </c>
      <c r="H61" s="25" t="s">
        <v>465</v>
      </c>
      <c r="I61" s="41">
        <v>400000</v>
      </c>
    </row>
    <row r="62" spans="1:9" ht="33.75" customHeight="1">
      <c r="A62" s="99">
        <v>62</v>
      </c>
      <c r="B62" s="35" t="s">
        <v>503</v>
      </c>
      <c r="C62" s="24" t="s">
        <v>501</v>
      </c>
      <c r="D62" s="25" t="s">
        <v>215</v>
      </c>
      <c r="E62" s="100" t="s">
        <v>227</v>
      </c>
      <c r="F62" s="25" t="s">
        <v>551</v>
      </c>
      <c r="G62" s="25" t="s">
        <v>230</v>
      </c>
      <c r="H62" s="25" t="s">
        <v>465</v>
      </c>
      <c r="I62" s="41">
        <v>2374431</v>
      </c>
    </row>
    <row r="63" spans="1:9" ht="33.75" customHeight="1">
      <c r="A63" s="99">
        <v>63</v>
      </c>
      <c r="B63" s="35"/>
      <c r="C63" s="24" t="s">
        <v>502</v>
      </c>
      <c r="D63" s="25" t="s">
        <v>215</v>
      </c>
      <c r="E63" s="100" t="s">
        <v>227</v>
      </c>
      <c r="F63" s="25" t="s">
        <v>551</v>
      </c>
      <c r="G63" s="25" t="s">
        <v>230</v>
      </c>
      <c r="H63" s="25" t="s">
        <v>465</v>
      </c>
      <c r="I63" s="41">
        <v>400000</v>
      </c>
    </row>
    <row r="64" spans="1:9" ht="33.75" customHeight="1">
      <c r="A64" s="99">
        <v>64</v>
      </c>
      <c r="B64" s="35"/>
      <c r="C64" s="24" t="s">
        <v>502</v>
      </c>
      <c r="D64" s="25" t="s">
        <v>215</v>
      </c>
      <c r="E64" s="100" t="s">
        <v>227</v>
      </c>
      <c r="F64" s="25" t="s">
        <v>552</v>
      </c>
      <c r="G64" s="25" t="s">
        <v>230</v>
      </c>
      <c r="H64" s="25" t="s">
        <v>465</v>
      </c>
      <c r="I64" s="41">
        <v>400000</v>
      </c>
    </row>
    <row r="65" spans="1:9" ht="33.75" customHeight="1">
      <c r="A65" s="99">
        <v>65</v>
      </c>
      <c r="B65" s="35"/>
      <c r="C65" s="24" t="s">
        <v>502</v>
      </c>
      <c r="D65" s="25" t="s">
        <v>215</v>
      </c>
      <c r="E65" s="100" t="s">
        <v>227</v>
      </c>
      <c r="F65" s="25" t="s">
        <v>553</v>
      </c>
      <c r="G65" s="25" t="s">
        <v>230</v>
      </c>
      <c r="H65" s="25" t="s">
        <v>465</v>
      </c>
      <c r="I65" s="41">
        <v>400000</v>
      </c>
    </row>
    <row r="66" spans="1:9" ht="33.75" customHeight="1">
      <c r="A66" s="99">
        <v>66</v>
      </c>
      <c r="B66" s="35" t="s">
        <v>504</v>
      </c>
      <c r="C66" s="24" t="s">
        <v>505</v>
      </c>
      <c r="D66" s="25" t="s">
        <v>215</v>
      </c>
      <c r="E66" s="100" t="s">
        <v>227</v>
      </c>
      <c r="F66" s="25" t="s">
        <v>552</v>
      </c>
      <c r="G66" s="25" t="s">
        <v>230</v>
      </c>
      <c r="H66" s="25" t="s">
        <v>465</v>
      </c>
      <c r="I66" s="41">
        <v>1700000</v>
      </c>
    </row>
    <row r="67" spans="1:9" ht="33.75" customHeight="1">
      <c r="A67" s="99">
        <v>67</v>
      </c>
      <c r="B67" s="35" t="s">
        <v>506</v>
      </c>
      <c r="C67" s="24" t="s">
        <v>507</v>
      </c>
      <c r="D67" s="25" t="s">
        <v>215</v>
      </c>
      <c r="E67" s="100" t="s">
        <v>227</v>
      </c>
      <c r="F67" s="25" t="s">
        <v>554</v>
      </c>
      <c r="G67" s="25" t="s">
        <v>230</v>
      </c>
      <c r="H67" s="25" t="s">
        <v>465</v>
      </c>
      <c r="I67" s="41">
        <v>4124729.17</v>
      </c>
    </row>
    <row r="68" spans="1:9" ht="33.75" customHeight="1">
      <c r="A68" s="99">
        <v>70</v>
      </c>
      <c r="B68" s="35" t="s">
        <v>508</v>
      </c>
      <c r="C68" s="24" t="s">
        <v>509</v>
      </c>
      <c r="D68" s="25" t="s">
        <v>215</v>
      </c>
      <c r="E68" s="100" t="s">
        <v>227</v>
      </c>
      <c r="F68" s="25" t="s">
        <v>290</v>
      </c>
      <c r="G68" s="25" t="s">
        <v>230</v>
      </c>
      <c r="H68" s="25" t="s">
        <v>465</v>
      </c>
      <c r="I68" s="41">
        <v>254837.29</v>
      </c>
    </row>
    <row r="69" spans="1:9" ht="33.75" customHeight="1">
      <c r="A69" s="99">
        <v>71</v>
      </c>
      <c r="B69" s="35" t="s">
        <v>510</v>
      </c>
      <c r="C69" s="24" t="s">
        <v>511</v>
      </c>
      <c r="D69" s="25" t="s">
        <v>215</v>
      </c>
      <c r="E69" s="100" t="s">
        <v>227</v>
      </c>
      <c r="F69" s="25" t="s">
        <v>555</v>
      </c>
      <c r="G69" s="25" t="s">
        <v>230</v>
      </c>
      <c r="H69" s="25" t="s">
        <v>465</v>
      </c>
      <c r="I69" s="41">
        <v>423728.87</v>
      </c>
    </row>
    <row r="70" spans="1:9" ht="33.75" customHeight="1">
      <c r="A70" s="99">
        <v>72</v>
      </c>
      <c r="B70" s="35" t="s">
        <v>512</v>
      </c>
      <c r="C70" s="24" t="s">
        <v>513</v>
      </c>
      <c r="D70" s="25" t="s">
        <v>215</v>
      </c>
      <c r="E70" s="100" t="s">
        <v>227</v>
      </c>
      <c r="F70" s="25" t="s">
        <v>556</v>
      </c>
      <c r="G70" s="25" t="s">
        <v>230</v>
      </c>
      <c r="H70" s="25" t="s">
        <v>465</v>
      </c>
      <c r="I70" s="41">
        <v>423728.87</v>
      </c>
    </row>
    <row r="71" spans="1:9" ht="33.75" customHeight="1">
      <c r="A71" s="99">
        <v>75</v>
      </c>
      <c r="B71" s="35" t="s">
        <v>514</v>
      </c>
      <c r="C71" s="24" t="s">
        <v>513</v>
      </c>
      <c r="D71" s="25" t="s">
        <v>215</v>
      </c>
      <c r="E71" s="100" t="s">
        <v>227</v>
      </c>
      <c r="F71" s="25" t="s">
        <v>541</v>
      </c>
      <c r="G71" s="25" t="s">
        <v>230</v>
      </c>
      <c r="H71" s="25" t="s">
        <v>465</v>
      </c>
      <c r="I71" s="41">
        <v>423728.87</v>
      </c>
    </row>
    <row r="72" spans="1:9" ht="33.75" customHeight="1">
      <c r="A72" s="99">
        <v>78</v>
      </c>
      <c r="B72" s="35" t="s">
        <v>515</v>
      </c>
      <c r="C72" s="24" t="s">
        <v>513</v>
      </c>
      <c r="D72" s="25" t="s">
        <v>215</v>
      </c>
      <c r="E72" s="100" t="s">
        <v>227</v>
      </c>
      <c r="F72" s="25" t="s">
        <v>534</v>
      </c>
      <c r="G72" s="25" t="s">
        <v>230</v>
      </c>
      <c r="H72" s="25" t="s">
        <v>465</v>
      </c>
      <c r="I72" s="41">
        <v>423728.87</v>
      </c>
    </row>
    <row r="73" spans="1:9" ht="33.75" customHeight="1">
      <c r="A73" s="99">
        <v>81</v>
      </c>
      <c r="B73" s="35" t="s">
        <v>516</v>
      </c>
      <c r="C73" s="24" t="s">
        <v>517</v>
      </c>
      <c r="D73" s="25" t="s">
        <v>215</v>
      </c>
      <c r="E73" s="100" t="s">
        <v>227</v>
      </c>
      <c r="F73" s="25" t="s">
        <v>556</v>
      </c>
      <c r="G73" s="25" t="s">
        <v>230</v>
      </c>
      <c r="H73" s="25" t="s">
        <v>465</v>
      </c>
      <c r="I73" s="41">
        <v>1525423.23</v>
      </c>
    </row>
    <row r="74" spans="1:9" ht="33.75" customHeight="1">
      <c r="A74" s="99">
        <v>84</v>
      </c>
      <c r="B74" s="35" t="s">
        <v>518</v>
      </c>
      <c r="C74" s="24" t="s">
        <v>266</v>
      </c>
      <c r="D74" s="25" t="s">
        <v>215</v>
      </c>
      <c r="E74" s="100" t="s">
        <v>227</v>
      </c>
      <c r="F74" s="25" t="s">
        <v>554</v>
      </c>
      <c r="G74" s="25" t="s">
        <v>230</v>
      </c>
      <c r="H74" s="25" t="s">
        <v>465</v>
      </c>
      <c r="I74" s="41">
        <v>1144067.8</v>
      </c>
    </row>
    <row r="75" spans="1:9" ht="33.75" customHeight="1">
      <c r="A75" s="99">
        <v>87</v>
      </c>
      <c r="B75" s="35" t="s">
        <v>519</v>
      </c>
      <c r="C75" s="24" t="s">
        <v>266</v>
      </c>
      <c r="D75" s="25" t="s">
        <v>215</v>
      </c>
      <c r="E75" s="100" t="s">
        <v>227</v>
      </c>
      <c r="F75" s="25" t="s">
        <v>551</v>
      </c>
      <c r="G75" s="25" t="s">
        <v>230</v>
      </c>
      <c r="H75" s="25" t="s">
        <v>465</v>
      </c>
      <c r="I75" s="41">
        <v>1144067.8</v>
      </c>
    </row>
    <row r="76" spans="1:9" ht="33.75" customHeight="1">
      <c r="A76" s="99">
        <v>90</v>
      </c>
      <c r="B76" s="35" t="s">
        <v>520</v>
      </c>
      <c r="C76" s="24" t="s">
        <v>266</v>
      </c>
      <c r="D76" s="25" t="s">
        <v>215</v>
      </c>
      <c r="E76" s="100" t="s">
        <v>227</v>
      </c>
      <c r="F76" s="25" t="s">
        <v>551</v>
      </c>
      <c r="G76" s="25" t="s">
        <v>230</v>
      </c>
      <c r="H76" s="25" t="s">
        <v>465</v>
      </c>
      <c r="I76" s="41">
        <v>1144067.8</v>
      </c>
    </row>
    <row r="77" spans="1:9" ht="33.75" customHeight="1">
      <c r="A77" s="99">
        <v>93</v>
      </c>
      <c r="B77" s="35" t="s">
        <v>533</v>
      </c>
      <c r="C77" s="24" t="s">
        <v>266</v>
      </c>
      <c r="D77" s="25" t="s">
        <v>215</v>
      </c>
      <c r="E77" s="100" t="s">
        <v>227</v>
      </c>
      <c r="F77" s="25" t="s">
        <v>553</v>
      </c>
      <c r="G77" s="25" t="s">
        <v>230</v>
      </c>
      <c r="H77" s="25" t="s">
        <v>465</v>
      </c>
      <c r="I77" s="41">
        <v>1144067.8</v>
      </c>
    </row>
    <row r="78" spans="1:9" ht="33.75" customHeight="1">
      <c r="A78" s="99">
        <v>96</v>
      </c>
      <c r="B78" s="35" t="s">
        <v>522</v>
      </c>
      <c r="C78" s="24" t="s">
        <v>266</v>
      </c>
      <c r="D78" s="25" t="s">
        <v>215</v>
      </c>
      <c r="E78" s="100" t="s">
        <v>227</v>
      </c>
      <c r="F78" s="25" t="s">
        <v>553</v>
      </c>
      <c r="G78" s="25" t="s">
        <v>230</v>
      </c>
      <c r="H78" s="25" t="s">
        <v>465</v>
      </c>
      <c r="I78" s="41">
        <v>1144067.8</v>
      </c>
    </row>
    <row r="79" spans="1:9" ht="33.75" customHeight="1">
      <c r="A79" s="99">
        <v>99</v>
      </c>
      <c r="B79" s="35" t="s">
        <v>523</v>
      </c>
      <c r="C79" s="24" t="s">
        <v>266</v>
      </c>
      <c r="D79" s="25" t="s">
        <v>215</v>
      </c>
      <c r="E79" s="100" t="s">
        <v>227</v>
      </c>
      <c r="F79" s="25" t="s">
        <v>552</v>
      </c>
      <c r="G79" s="25" t="s">
        <v>230</v>
      </c>
      <c r="H79" s="25" t="s">
        <v>465</v>
      </c>
      <c r="I79" s="41">
        <v>1144067.8</v>
      </c>
    </row>
    <row r="80" spans="1:9" ht="33.75" customHeight="1">
      <c r="A80" s="99">
        <v>102</v>
      </c>
      <c r="B80" s="35" t="s">
        <v>521</v>
      </c>
      <c r="C80" s="24" t="s">
        <v>266</v>
      </c>
      <c r="D80" s="25" t="s">
        <v>215</v>
      </c>
      <c r="E80" s="100" t="s">
        <v>227</v>
      </c>
      <c r="F80" s="25" t="s">
        <v>552</v>
      </c>
      <c r="G80" s="25" t="s">
        <v>230</v>
      </c>
      <c r="H80" s="25" t="s">
        <v>465</v>
      </c>
      <c r="I80" s="41">
        <v>1144067.8</v>
      </c>
    </row>
    <row r="81" spans="1:9" ht="33.75" customHeight="1">
      <c r="A81" s="99">
        <v>105</v>
      </c>
      <c r="B81" s="35" t="s">
        <v>524</v>
      </c>
      <c r="C81" s="24" t="s">
        <v>525</v>
      </c>
      <c r="D81" s="25" t="s">
        <v>215</v>
      </c>
      <c r="E81" s="100" t="s">
        <v>227</v>
      </c>
      <c r="F81" s="25" t="s">
        <v>554</v>
      </c>
      <c r="G81" s="25" t="s">
        <v>230</v>
      </c>
      <c r="H81" s="25" t="s">
        <v>465</v>
      </c>
      <c r="I81" s="41">
        <v>2372881.36</v>
      </c>
    </row>
    <row r="82" spans="1:9" ht="33.75" customHeight="1">
      <c r="A82" s="99">
        <v>108</v>
      </c>
      <c r="B82" s="35" t="s">
        <v>526</v>
      </c>
      <c r="C82" s="24" t="s">
        <v>527</v>
      </c>
      <c r="D82" s="25" t="s">
        <v>215</v>
      </c>
      <c r="E82" s="100" t="s">
        <v>227</v>
      </c>
      <c r="F82" s="25" t="s">
        <v>554</v>
      </c>
      <c r="G82" s="25" t="s">
        <v>230</v>
      </c>
      <c r="H82" s="25" t="s">
        <v>465</v>
      </c>
      <c r="I82" s="41">
        <v>338983.05</v>
      </c>
    </row>
    <row r="83" spans="1:9" ht="33.75" customHeight="1">
      <c r="A83" s="99">
        <v>111</v>
      </c>
      <c r="B83" s="35" t="s">
        <v>528</v>
      </c>
      <c r="C83" s="24" t="s">
        <v>529</v>
      </c>
      <c r="D83" s="25" t="s">
        <v>215</v>
      </c>
      <c r="E83" s="100" t="s">
        <v>227</v>
      </c>
      <c r="F83" s="25" t="s">
        <v>553</v>
      </c>
      <c r="G83" s="25" t="s">
        <v>230</v>
      </c>
      <c r="H83" s="25" t="s">
        <v>465</v>
      </c>
      <c r="I83" s="41">
        <v>322033.90000000002</v>
      </c>
    </row>
    <row r="84" spans="1:9" ht="33.75" customHeight="1">
      <c r="A84" s="99">
        <v>114</v>
      </c>
      <c r="B84" s="35" t="s">
        <v>530</v>
      </c>
      <c r="C84" s="24" t="s">
        <v>529</v>
      </c>
      <c r="D84" s="25" t="s">
        <v>215</v>
      </c>
      <c r="E84" s="100" t="s">
        <v>227</v>
      </c>
      <c r="F84" s="25" t="s">
        <v>553</v>
      </c>
      <c r="G84" s="25" t="s">
        <v>230</v>
      </c>
      <c r="H84" s="25" t="s">
        <v>465</v>
      </c>
      <c r="I84" s="41">
        <v>322033.90000000002</v>
      </c>
    </row>
    <row r="85" spans="1:9" ht="33.75" customHeight="1">
      <c r="A85" s="99">
        <v>117</v>
      </c>
      <c r="B85" s="35" t="s">
        <v>531</v>
      </c>
      <c r="C85" s="24" t="s">
        <v>529</v>
      </c>
      <c r="D85" s="25" t="s">
        <v>215</v>
      </c>
      <c r="E85" s="100" t="s">
        <v>227</v>
      </c>
      <c r="F85" s="25" t="s">
        <v>552</v>
      </c>
      <c r="G85" s="25" t="s">
        <v>230</v>
      </c>
      <c r="H85" s="25" t="s">
        <v>465</v>
      </c>
      <c r="I85" s="41">
        <v>322033.90000000002</v>
      </c>
    </row>
    <row r="86" spans="1:9" ht="33.75" customHeight="1">
      <c r="A86" s="99">
        <v>120</v>
      </c>
      <c r="B86" s="35" t="s">
        <v>532</v>
      </c>
      <c r="C86" s="24" t="s">
        <v>529</v>
      </c>
      <c r="D86" s="25" t="s">
        <v>215</v>
      </c>
      <c r="E86" s="100" t="s">
        <v>227</v>
      </c>
      <c r="F86" s="25" t="s">
        <v>552</v>
      </c>
      <c r="G86" s="25" t="s">
        <v>230</v>
      </c>
      <c r="H86" s="25" t="s">
        <v>465</v>
      </c>
      <c r="I86" s="41">
        <v>322033.90000000002</v>
      </c>
    </row>
    <row r="87" spans="1:9" ht="33.75" customHeight="1">
      <c r="A87" s="99">
        <v>123</v>
      </c>
      <c r="B87" s="35"/>
      <c r="C87" s="24" t="s">
        <v>529</v>
      </c>
      <c r="D87" s="25" t="s">
        <v>215</v>
      </c>
      <c r="E87" s="100" t="s">
        <v>227</v>
      </c>
      <c r="F87" s="25" t="s">
        <v>554</v>
      </c>
      <c r="G87" s="25" t="s">
        <v>230</v>
      </c>
      <c r="H87" s="25" t="s">
        <v>465</v>
      </c>
      <c r="I87" s="41">
        <v>322033.90000000002</v>
      </c>
    </row>
    <row r="88" spans="1:9" ht="33.75" customHeight="1">
      <c r="A88" s="99">
        <v>126</v>
      </c>
      <c r="B88" s="35"/>
      <c r="C88" s="24" t="s">
        <v>529</v>
      </c>
      <c r="D88" s="25" t="s">
        <v>215</v>
      </c>
      <c r="E88" s="100" t="s">
        <v>227</v>
      </c>
      <c r="F88" s="25" t="s">
        <v>554</v>
      </c>
      <c r="G88" s="25" t="s">
        <v>230</v>
      </c>
      <c r="H88" s="25" t="s">
        <v>465</v>
      </c>
      <c r="I88" s="41">
        <v>322033.90000000002</v>
      </c>
    </row>
    <row r="89" spans="1:9" ht="33.75" customHeight="1">
      <c r="A89" s="99">
        <v>129</v>
      </c>
      <c r="B89" s="35"/>
      <c r="C89" s="24" t="s">
        <v>529</v>
      </c>
      <c r="D89" s="25" t="s">
        <v>215</v>
      </c>
      <c r="E89" s="100" t="s">
        <v>227</v>
      </c>
      <c r="F89" s="25" t="s">
        <v>551</v>
      </c>
      <c r="G89" s="25" t="s">
        <v>230</v>
      </c>
      <c r="H89" s="25" t="s">
        <v>465</v>
      </c>
      <c r="I89" s="41">
        <v>322033.90000000002</v>
      </c>
    </row>
    <row r="90" spans="1:9" ht="33.75" customHeight="1">
      <c r="A90" s="99">
        <v>132</v>
      </c>
      <c r="B90" s="35"/>
      <c r="C90" s="24" t="s">
        <v>529</v>
      </c>
      <c r="D90" s="25" t="s">
        <v>215</v>
      </c>
      <c r="E90" s="100" t="s">
        <v>227</v>
      </c>
      <c r="F90" s="25" t="s">
        <v>557</v>
      </c>
      <c r="G90" s="25" t="s">
        <v>230</v>
      </c>
      <c r="H90" s="25" t="s">
        <v>465</v>
      </c>
      <c r="I90" s="41">
        <v>322033.90000000002</v>
      </c>
    </row>
    <row r="91" spans="1:9" ht="33.75" customHeight="1">
      <c r="A91" s="99">
        <v>135</v>
      </c>
      <c r="B91" s="35"/>
      <c r="C91" s="24" t="s">
        <v>529</v>
      </c>
      <c r="D91" s="25" t="s">
        <v>215</v>
      </c>
      <c r="E91" s="100" t="s">
        <v>227</v>
      </c>
      <c r="F91" s="25" t="s">
        <v>558</v>
      </c>
      <c r="G91" s="25" t="s">
        <v>230</v>
      </c>
      <c r="H91" s="25" t="s">
        <v>465</v>
      </c>
      <c r="I91" s="41">
        <v>322033.90000000002</v>
      </c>
    </row>
    <row r="92" spans="1:9" ht="33.75" customHeight="1">
      <c r="A92" s="99">
        <v>138</v>
      </c>
      <c r="B92" s="35"/>
      <c r="C92" s="24" t="s">
        <v>529</v>
      </c>
      <c r="D92" s="25" t="s">
        <v>215</v>
      </c>
      <c r="E92" s="100" t="s">
        <v>227</v>
      </c>
      <c r="F92" s="25" t="s">
        <v>557</v>
      </c>
      <c r="G92" s="25" t="s">
        <v>230</v>
      </c>
      <c r="H92" s="25" t="s">
        <v>465</v>
      </c>
      <c r="I92" s="41">
        <v>322033.90000000002</v>
      </c>
    </row>
    <row r="93" spans="1:9" ht="33.75" customHeight="1" thickBot="1">
      <c r="A93" s="99">
        <v>141</v>
      </c>
      <c r="B93" s="35"/>
      <c r="C93" s="24" t="s">
        <v>529</v>
      </c>
      <c r="D93" s="25" t="s">
        <v>215</v>
      </c>
      <c r="E93" s="100" t="s">
        <v>227</v>
      </c>
      <c r="F93" s="25" t="s">
        <v>557</v>
      </c>
      <c r="G93" s="25" t="s">
        <v>230</v>
      </c>
      <c r="H93" s="25" t="s">
        <v>465</v>
      </c>
      <c r="I93" s="41">
        <v>322033.90000000002</v>
      </c>
    </row>
    <row r="94" spans="1:9" ht="21.75" thickBot="1">
      <c r="B94" s="21"/>
      <c r="C94" s="21"/>
      <c r="D94" s="21"/>
      <c r="F94" s="108" t="s">
        <v>66</v>
      </c>
      <c r="G94" s="105"/>
      <c r="H94" s="106"/>
      <c r="I94" s="107">
        <f>SUM(I3:I93)</f>
        <v>132256453.52614881</v>
      </c>
    </row>
    <row r="95" spans="1:9">
      <c r="B95" s="21"/>
      <c r="C95" s="21"/>
      <c r="D95" s="21"/>
      <c r="G95" s="21"/>
    </row>
    <row r="96" spans="1:9">
      <c r="B96" s="21"/>
      <c r="C96" s="21"/>
      <c r="D96" s="21"/>
    </row>
    <row r="97" spans="2:4">
      <c r="B97" s="21"/>
      <c r="C97" s="21"/>
      <c r="D97" s="21"/>
    </row>
    <row r="98" spans="2:4">
      <c r="B98" s="21"/>
      <c r="C98" s="21"/>
      <c r="D98" s="21"/>
    </row>
    <row r="99" spans="2:4">
      <c r="B99" s="21"/>
      <c r="C99" s="21"/>
      <c r="D99" s="21"/>
    </row>
    <row r="100" spans="2:4">
      <c r="B100" s="21"/>
      <c r="C100" s="21"/>
      <c r="D100" s="21"/>
    </row>
    <row r="101" spans="2:4">
      <c r="B101" s="21"/>
      <c r="C101" s="21"/>
      <c r="D101" s="21"/>
    </row>
    <row r="102" spans="2:4">
      <c r="B102" s="21"/>
      <c r="C102" s="21"/>
      <c r="D102" s="21"/>
    </row>
    <row r="103" spans="2:4">
      <c r="B103" s="21"/>
      <c r="C103" s="21"/>
      <c r="D103" s="21"/>
    </row>
    <row r="104" spans="2:4">
      <c r="B104" s="21"/>
      <c r="C104" s="21"/>
      <c r="D104" s="21"/>
    </row>
    <row r="105" spans="2:4">
      <c r="B105" s="21"/>
      <c r="C105" s="21"/>
      <c r="D105" s="21"/>
    </row>
    <row r="106" spans="2:4">
      <c r="B106" s="21"/>
      <c r="C106" s="21"/>
      <c r="D106" s="21"/>
    </row>
    <row r="107" spans="2:4">
      <c r="B107" s="21"/>
      <c r="C107" s="21"/>
      <c r="D107" s="21"/>
    </row>
    <row r="108" spans="2:4">
      <c r="B108" s="21"/>
      <c r="C108" s="21"/>
      <c r="D108" s="21"/>
    </row>
    <row r="109" spans="2:4">
      <c r="B109" s="21"/>
      <c r="C109" s="21"/>
      <c r="D109" s="21"/>
    </row>
    <row r="110" spans="2:4">
      <c r="B110" s="21"/>
      <c r="C110" s="21"/>
      <c r="D110" s="21"/>
    </row>
    <row r="111" spans="2:4">
      <c r="B111" s="21"/>
      <c r="C111" s="21"/>
      <c r="D111" s="21"/>
    </row>
    <row r="112" spans="2:4">
      <c r="B112" s="21"/>
      <c r="C112" s="21"/>
      <c r="D112" s="21"/>
    </row>
    <row r="113" spans="2:4">
      <c r="B113" s="21"/>
      <c r="C113" s="21"/>
      <c r="D113" s="21"/>
    </row>
    <row r="114" spans="2:4">
      <c r="B114" s="21"/>
      <c r="C114" s="21"/>
      <c r="D114" s="21"/>
    </row>
    <row r="115" spans="2:4">
      <c r="B115" s="21"/>
      <c r="C115" s="21"/>
      <c r="D115" s="21"/>
    </row>
    <row r="116" spans="2:4">
      <c r="B116" s="21"/>
      <c r="C116" s="21"/>
      <c r="D116" s="21"/>
    </row>
    <row r="117" spans="2:4">
      <c r="B117" s="21"/>
      <c r="C117" s="21"/>
      <c r="D117" s="21"/>
    </row>
    <row r="118" spans="2:4">
      <c r="B118" s="21"/>
      <c r="C118" s="21"/>
      <c r="D118" s="21"/>
    </row>
    <row r="119" spans="2:4">
      <c r="B119" s="21"/>
      <c r="C119" s="21"/>
      <c r="D119" s="21"/>
    </row>
    <row r="120" spans="2:4">
      <c r="D120" s="21"/>
    </row>
    <row r="121" spans="2:4">
      <c r="D121" s="21"/>
    </row>
    <row r="122" spans="2:4">
      <c r="D122" s="21"/>
    </row>
    <row r="123" spans="2:4">
      <c r="D123" s="21"/>
    </row>
    <row r="124" spans="2:4">
      <c r="D124" s="21"/>
    </row>
    <row r="125" spans="2:4">
      <c r="D125" s="21"/>
    </row>
    <row r="126" spans="2:4">
      <c r="D126" s="21"/>
    </row>
    <row r="127" spans="2:4">
      <c r="D127" s="21"/>
    </row>
    <row r="128" spans="2:4">
      <c r="D128" s="21"/>
    </row>
    <row r="129" spans="4:4">
      <c r="D129" s="21"/>
    </row>
    <row r="130" spans="4:4">
      <c r="D130" s="21"/>
    </row>
    <row r="131" spans="4:4">
      <c r="D131" s="21"/>
    </row>
    <row r="132" spans="4:4">
      <c r="D132" s="21"/>
    </row>
    <row r="133" spans="4:4">
      <c r="D133" s="21"/>
    </row>
    <row r="134" spans="4:4">
      <c r="D134" s="21"/>
    </row>
    <row r="135" spans="4:4">
      <c r="D135" s="21"/>
    </row>
    <row r="136" spans="4:4">
      <c r="D136" s="21"/>
    </row>
    <row r="137" spans="4:4">
      <c r="D137" s="21"/>
    </row>
    <row r="138" spans="4:4">
      <c r="D138" s="21"/>
    </row>
    <row r="139" spans="4:4">
      <c r="D139" s="21"/>
    </row>
    <row r="140" spans="4:4">
      <c r="D140" s="21"/>
    </row>
    <row r="141" spans="4:4">
      <c r="D141" s="21"/>
    </row>
    <row r="142" spans="4:4">
      <c r="D142" s="21"/>
    </row>
    <row r="143" spans="4:4">
      <c r="D143" s="21"/>
    </row>
    <row r="144" spans="4:4">
      <c r="D144" s="21"/>
    </row>
    <row r="145" spans="4:4">
      <c r="D145" s="21"/>
    </row>
    <row r="146" spans="4:4">
      <c r="D146" s="21"/>
    </row>
    <row r="147" spans="4:4">
      <c r="D147" s="21"/>
    </row>
    <row r="148" spans="4:4">
      <c r="D148" s="21"/>
    </row>
    <row r="149" spans="4:4">
      <c r="D149" s="21"/>
    </row>
    <row r="150" spans="4:4">
      <c r="D150" s="21"/>
    </row>
    <row r="151" spans="4:4">
      <c r="D151" s="21"/>
    </row>
    <row r="152" spans="4:4">
      <c r="D152" s="21"/>
    </row>
    <row r="153" spans="4:4">
      <c r="D153" s="21"/>
    </row>
  </sheetData>
  <conditionalFormatting sqref="I3:I71">
    <cfRule type="expression" dxfId="15" priority="12">
      <formula>(IF(ISNUMBER(I3),FALSE,IF(ISBLANK(I3),FALSE,TRUE)))</formula>
    </cfRule>
  </conditionalFormatting>
  <conditionalFormatting sqref="I72:I93">
    <cfRule type="expression" dxfId="14" priority="1">
      <formula>(IF(ISNUMBER(I72),FALSE,IF(ISBLANK(I72),FALSE,TRUE)))</formula>
    </cfRule>
  </conditionalFormatting>
  <conditionalFormatting sqref="B3:B71">
    <cfRule type="duplicateValues" dxfId="13" priority="44"/>
    <cfRule type="duplicateValues" dxfId="12" priority="45"/>
  </conditionalFormatting>
  <conditionalFormatting sqref="B3:B71">
    <cfRule type="duplicateValues" dxfId="11" priority="48"/>
  </conditionalFormatting>
  <conditionalFormatting sqref="B72:B93">
    <cfRule type="duplicateValues" dxfId="10" priority="49"/>
    <cfRule type="duplicateValues" dxfId="9" priority="50"/>
  </conditionalFormatting>
  <conditionalFormatting sqref="B72:B93">
    <cfRule type="duplicateValues" dxfId="8" priority="51"/>
  </conditionalFormatting>
  <conditionalFormatting sqref="B94:B119">
    <cfRule type="duplicateValues" dxfId="7" priority="52"/>
    <cfRule type="duplicateValues" dxfId="6" priority="53"/>
  </conditionalFormatting>
  <conditionalFormatting sqref="B94:B119">
    <cfRule type="duplicateValues" dxfId="5" priority="56"/>
  </conditionalFormatting>
  <dataValidations count="1">
    <dataValidation type="decimal" allowBlank="1" showInputMessage="1" showErrorMessage="1" errorTitle="Umekosea" error="Tafadhali ingiza tarakimu." sqref="I3:I72">
      <formula1>0</formula1>
      <formula2>999999999999</formula2>
    </dataValidation>
  </dataValidations>
  <pageMargins left="0.7" right="0.7" top="0.75" bottom="0.75" header="0.3" footer="0.3"/>
  <pageSetup scale="4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abSelected="1" view="pageBreakPreview" zoomScale="60" zoomScaleNormal="100" workbookViewId="0">
      <selection activeCell="D35" sqref="D35"/>
    </sheetView>
  </sheetViews>
  <sheetFormatPr defaultRowHeight="15"/>
  <cols>
    <col min="2" max="2" width="18.85546875" customWidth="1"/>
    <col min="3" max="3" width="44.5703125" customWidth="1"/>
    <col min="4" max="4" width="35.140625" customWidth="1"/>
    <col min="5" max="5" width="31.28515625" customWidth="1"/>
    <col min="6" max="6" width="32.85546875" customWidth="1"/>
    <col min="7" max="7" width="13.140625" customWidth="1"/>
    <col min="8" max="8" width="21.7109375" customWidth="1"/>
    <col min="9" max="9" width="27.5703125" customWidth="1"/>
    <col min="10" max="10" width="14.5703125" customWidth="1"/>
  </cols>
  <sheetData>
    <row r="1" spans="1:10" ht="21.75" thickBot="1">
      <c r="A1" s="2"/>
      <c r="B1" s="6" t="s">
        <v>43</v>
      </c>
    </row>
    <row r="2" spans="1:10" ht="75.75" customHeight="1">
      <c r="A2" s="119" t="s">
        <v>0</v>
      </c>
      <c r="B2" s="120" t="s">
        <v>11</v>
      </c>
      <c r="C2" s="120" t="s">
        <v>29</v>
      </c>
      <c r="D2" s="120" t="s">
        <v>38</v>
      </c>
      <c r="E2" s="120" t="s">
        <v>37</v>
      </c>
      <c r="F2" s="120" t="s">
        <v>32</v>
      </c>
      <c r="G2" s="120" t="s">
        <v>35</v>
      </c>
      <c r="H2" s="120" t="s">
        <v>39</v>
      </c>
      <c r="I2" s="120" t="s">
        <v>34</v>
      </c>
      <c r="J2" s="120" t="s">
        <v>36</v>
      </c>
    </row>
    <row r="3" spans="1:10" ht="36" customHeight="1">
      <c r="A3" s="100">
        <v>1</v>
      </c>
      <c r="B3" s="100" t="s">
        <v>238</v>
      </c>
      <c r="C3" s="100" t="s">
        <v>95</v>
      </c>
      <c r="D3" s="100" t="s">
        <v>276</v>
      </c>
      <c r="E3" s="100" t="s">
        <v>227</v>
      </c>
      <c r="F3" s="100" t="s">
        <v>276</v>
      </c>
      <c r="G3" s="100" t="s">
        <v>283</v>
      </c>
      <c r="H3" s="100" t="s">
        <v>65</v>
      </c>
      <c r="I3" s="117">
        <v>135000</v>
      </c>
      <c r="J3" s="118" t="s">
        <v>284</v>
      </c>
    </row>
    <row r="4" spans="1:10" ht="36" customHeight="1">
      <c r="A4" s="100">
        <v>2</v>
      </c>
      <c r="B4" s="100" t="s">
        <v>239</v>
      </c>
      <c r="C4" s="100" t="s">
        <v>253</v>
      </c>
      <c r="D4" s="100" t="s">
        <v>277</v>
      </c>
      <c r="E4" s="100" t="s">
        <v>227</v>
      </c>
      <c r="F4" s="100" t="s">
        <v>277</v>
      </c>
      <c r="G4" s="100" t="s">
        <v>283</v>
      </c>
      <c r="H4" s="100" t="s">
        <v>65</v>
      </c>
      <c r="I4" s="117">
        <v>15000</v>
      </c>
      <c r="J4" s="118" t="s">
        <v>284</v>
      </c>
    </row>
    <row r="5" spans="1:10" ht="36" customHeight="1">
      <c r="A5" s="100">
        <v>3</v>
      </c>
      <c r="B5" s="100" t="s">
        <v>240</v>
      </c>
      <c r="C5" s="100" t="s">
        <v>254</v>
      </c>
      <c r="D5" s="100" t="s">
        <v>277</v>
      </c>
      <c r="E5" s="100" t="s">
        <v>227</v>
      </c>
      <c r="F5" s="100" t="s">
        <v>277</v>
      </c>
      <c r="G5" s="100" t="s">
        <v>283</v>
      </c>
      <c r="H5" s="100" t="s">
        <v>65</v>
      </c>
      <c r="I5" s="117">
        <v>2000</v>
      </c>
      <c r="J5" s="118" t="s">
        <v>284</v>
      </c>
    </row>
    <row r="6" spans="1:10" ht="36" customHeight="1">
      <c r="A6" s="100">
        <v>4</v>
      </c>
      <c r="B6" s="100" t="s">
        <v>241</v>
      </c>
      <c r="C6" s="100" t="s">
        <v>255</v>
      </c>
      <c r="D6" s="100" t="s">
        <v>277</v>
      </c>
      <c r="E6" s="100" t="s">
        <v>227</v>
      </c>
      <c r="F6" s="100" t="s">
        <v>277</v>
      </c>
      <c r="G6" s="100" t="s">
        <v>234</v>
      </c>
      <c r="H6" s="100" t="s">
        <v>65</v>
      </c>
      <c r="I6" s="117">
        <v>30000</v>
      </c>
      <c r="J6" s="118" t="s">
        <v>284</v>
      </c>
    </row>
    <row r="7" spans="1:10" ht="36" customHeight="1">
      <c r="A7" s="100">
        <v>5</v>
      </c>
      <c r="B7" s="100" t="s">
        <v>242</v>
      </c>
      <c r="C7" s="100" t="s">
        <v>256</v>
      </c>
      <c r="D7" s="100" t="s">
        <v>277</v>
      </c>
      <c r="E7" s="100" t="s">
        <v>227</v>
      </c>
      <c r="F7" s="100" t="s">
        <v>277</v>
      </c>
      <c r="G7" s="100" t="s">
        <v>234</v>
      </c>
      <c r="H7" s="100" t="s">
        <v>65</v>
      </c>
      <c r="I7" s="117">
        <v>10000</v>
      </c>
      <c r="J7" s="118" t="s">
        <v>284</v>
      </c>
    </row>
    <row r="8" spans="1:10" ht="36" customHeight="1">
      <c r="A8" s="100">
        <v>6</v>
      </c>
      <c r="B8" s="100" t="s">
        <v>243</v>
      </c>
      <c r="C8" s="100" t="s">
        <v>257</v>
      </c>
      <c r="D8" s="100" t="s">
        <v>215</v>
      </c>
      <c r="E8" s="100" t="s">
        <v>227</v>
      </c>
      <c r="F8" s="100" t="s">
        <v>215</v>
      </c>
      <c r="G8" s="100" t="s">
        <v>234</v>
      </c>
      <c r="H8" s="100" t="s">
        <v>65</v>
      </c>
      <c r="I8" s="117">
        <v>150000</v>
      </c>
      <c r="J8" s="118" t="s">
        <v>284</v>
      </c>
    </row>
    <row r="9" spans="1:10" ht="36" customHeight="1">
      <c r="A9" s="100">
        <v>7</v>
      </c>
      <c r="B9" s="100" t="s">
        <v>244</v>
      </c>
      <c r="C9" s="100" t="s">
        <v>258</v>
      </c>
      <c r="D9" s="100" t="s">
        <v>278</v>
      </c>
      <c r="E9" s="100" t="s">
        <v>227</v>
      </c>
      <c r="F9" s="100" t="s">
        <v>278</v>
      </c>
      <c r="G9" s="100" t="s">
        <v>234</v>
      </c>
      <c r="H9" s="100" t="s">
        <v>65</v>
      </c>
      <c r="I9" s="117">
        <v>30000</v>
      </c>
      <c r="J9" s="118" t="s">
        <v>284</v>
      </c>
    </row>
    <row r="10" spans="1:10" ht="36" customHeight="1">
      <c r="A10" s="100">
        <v>8</v>
      </c>
      <c r="B10" s="100" t="s">
        <v>245</v>
      </c>
      <c r="C10" s="100" t="s">
        <v>259</v>
      </c>
      <c r="D10" s="100" t="s">
        <v>215</v>
      </c>
      <c r="E10" s="100" t="s">
        <v>227</v>
      </c>
      <c r="F10" s="100" t="s">
        <v>215</v>
      </c>
      <c r="G10" s="100" t="s">
        <v>283</v>
      </c>
      <c r="H10" s="100" t="s">
        <v>65</v>
      </c>
      <c r="I10" s="117">
        <v>4915.2299999999996</v>
      </c>
      <c r="J10" s="118" t="s">
        <v>284</v>
      </c>
    </row>
    <row r="11" spans="1:10" ht="36" customHeight="1">
      <c r="A11" s="100">
        <v>9</v>
      </c>
      <c r="B11" s="100" t="s">
        <v>246</v>
      </c>
      <c r="C11" s="100" t="s">
        <v>259</v>
      </c>
      <c r="D11" s="100" t="s">
        <v>279</v>
      </c>
      <c r="E11" s="100" t="s">
        <v>228</v>
      </c>
      <c r="F11" s="100" t="s">
        <v>279</v>
      </c>
      <c r="G11" s="100" t="s">
        <v>234</v>
      </c>
      <c r="H11" s="100" t="s">
        <v>65</v>
      </c>
      <c r="I11" s="117">
        <v>19660.91</v>
      </c>
      <c r="J11" s="118" t="s">
        <v>284</v>
      </c>
    </row>
    <row r="12" spans="1:10" ht="36" customHeight="1">
      <c r="A12" s="100">
        <v>10</v>
      </c>
      <c r="B12" s="100" t="s">
        <v>247</v>
      </c>
      <c r="C12" s="100" t="s">
        <v>260</v>
      </c>
      <c r="D12" s="100" t="s">
        <v>280</v>
      </c>
      <c r="E12" s="100" t="s">
        <v>227</v>
      </c>
      <c r="F12" s="100" t="s">
        <v>280</v>
      </c>
      <c r="G12" s="100" t="s">
        <v>234</v>
      </c>
      <c r="H12" s="100" t="s">
        <v>65</v>
      </c>
      <c r="I12" s="117">
        <v>58982.74</v>
      </c>
      <c r="J12" s="118" t="s">
        <v>284</v>
      </c>
    </row>
    <row r="13" spans="1:10" ht="36" customHeight="1">
      <c r="A13" s="100">
        <v>11</v>
      </c>
      <c r="B13" s="100" t="s">
        <v>248</v>
      </c>
      <c r="C13" s="100" t="s">
        <v>261</v>
      </c>
      <c r="D13" s="100" t="s">
        <v>278</v>
      </c>
      <c r="E13" s="100" t="s">
        <v>227</v>
      </c>
      <c r="F13" s="100" t="s">
        <v>278</v>
      </c>
      <c r="G13" s="100" t="s">
        <v>234</v>
      </c>
      <c r="H13" s="100" t="s">
        <v>65</v>
      </c>
      <c r="I13" s="117">
        <v>22610.05</v>
      </c>
      <c r="J13" s="118" t="s">
        <v>284</v>
      </c>
    </row>
    <row r="14" spans="1:10" ht="36" customHeight="1">
      <c r="A14" s="100">
        <v>12</v>
      </c>
      <c r="B14" s="100" t="s">
        <v>249</v>
      </c>
      <c r="C14" s="100" t="s">
        <v>262</v>
      </c>
      <c r="D14" s="100" t="s">
        <v>278</v>
      </c>
      <c r="E14" s="100" t="s">
        <v>227</v>
      </c>
      <c r="F14" s="100" t="s">
        <v>278</v>
      </c>
      <c r="G14" s="100" t="s">
        <v>283</v>
      </c>
      <c r="H14" s="100" t="s">
        <v>65</v>
      </c>
      <c r="I14" s="117">
        <v>4915.2299999999996</v>
      </c>
      <c r="J14" s="118" t="s">
        <v>284</v>
      </c>
    </row>
    <row r="15" spans="1:10" ht="36" customHeight="1">
      <c r="A15" s="100">
        <v>13</v>
      </c>
      <c r="B15" s="100" t="s">
        <v>250</v>
      </c>
      <c r="C15" s="100" t="s">
        <v>263</v>
      </c>
      <c r="D15" s="100" t="s">
        <v>278</v>
      </c>
      <c r="E15" s="100" t="s">
        <v>227</v>
      </c>
      <c r="F15" s="100" t="s">
        <v>278</v>
      </c>
      <c r="G15" s="100" t="s">
        <v>283</v>
      </c>
      <c r="H15" s="100" t="s">
        <v>65</v>
      </c>
      <c r="I15" s="117">
        <v>12779.59</v>
      </c>
      <c r="J15" s="118" t="s">
        <v>284</v>
      </c>
    </row>
    <row r="16" spans="1:10" ht="36" customHeight="1">
      <c r="A16" s="100">
        <v>14</v>
      </c>
      <c r="B16" s="100" t="s">
        <v>251</v>
      </c>
      <c r="C16" s="100" t="s">
        <v>264</v>
      </c>
      <c r="D16" s="100" t="s">
        <v>278</v>
      </c>
      <c r="E16" s="100" t="s">
        <v>227</v>
      </c>
      <c r="F16" s="100" t="s">
        <v>278</v>
      </c>
      <c r="G16" s="100" t="s">
        <v>283</v>
      </c>
      <c r="H16" s="100" t="s">
        <v>65</v>
      </c>
      <c r="I16" s="117">
        <v>12779.59</v>
      </c>
      <c r="J16" s="118" t="s">
        <v>284</v>
      </c>
    </row>
    <row r="17" spans="1:10" ht="36" customHeight="1">
      <c r="A17" s="100">
        <v>15</v>
      </c>
      <c r="B17" s="100" t="s">
        <v>252</v>
      </c>
      <c r="C17" s="100" t="s">
        <v>265</v>
      </c>
      <c r="D17" s="100" t="s">
        <v>278</v>
      </c>
      <c r="E17" s="100" t="s">
        <v>227</v>
      </c>
      <c r="F17" s="100" t="s">
        <v>278</v>
      </c>
      <c r="G17" s="100" t="s">
        <v>283</v>
      </c>
      <c r="H17" s="100" t="s">
        <v>65</v>
      </c>
      <c r="I17" s="117">
        <v>24576.14</v>
      </c>
      <c r="J17" s="118" t="s">
        <v>284</v>
      </c>
    </row>
    <row r="18" spans="1:10" ht="36" customHeight="1">
      <c r="A18" s="100">
        <v>16</v>
      </c>
      <c r="B18" s="100">
        <v>1307</v>
      </c>
      <c r="C18" s="100" t="s">
        <v>214</v>
      </c>
      <c r="D18" s="100" t="s">
        <v>278</v>
      </c>
      <c r="E18" s="100" t="s">
        <v>227</v>
      </c>
      <c r="F18" s="100" t="s">
        <v>278</v>
      </c>
      <c r="G18" s="100" t="s">
        <v>283</v>
      </c>
      <c r="H18" s="100" t="s">
        <v>65</v>
      </c>
      <c r="I18" s="117">
        <v>4915.2299999999996</v>
      </c>
      <c r="J18" s="118" t="s">
        <v>284</v>
      </c>
    </row>
    <row r="19" spans="1:10" ht="36" customHeight="1">
      <c r="A19" s="100">
        <v>17</v>
      </c>
      <c r="B19" s="100">
        <v>1313</v>
      </c>
      <c r="C19" s="100" t="s">
        <v>214</v>
      </c>
      <c r="D19" s="100" t="s">
        <v>281</v>
      </c>
      <c r="E19" s="100" t="s">
        <v>227</v>
      </c>
      <c r="F19" s="100" t="s">
        <v>281</v>
      </c>
      <c r="G19" s="100" t="s">
        <v>283</v>
      </c>
      <c r="H19" s="100" t="s">
        <v>65</v>
      </c>
      <c r="I19" s="117">
        <v>4915.2299999999996</v>
      </c>
      <c r="J19" s="118" t="s">
        <v>284</v>
      </c>
    </row>
    <row r="20" spans="1:10" ht="36" customHeight="1">
      <c r="A20" s="100">
        <v>18</v>
      </c>
      <c r="B20" s="100">
        <v>1316</v>
      </c>
      <c r="C20" s="100" t="s">
        <v>214</v>
      </c>
      <c r="D20" s="100" t="s">
        <v>281</v>
      </c>
      <c r="E20" s="100" t="s">
        <v>227</v>
      </c>
      <c r="F20" s="100" t="s">
        <v>281</v>
      </c>
      <c r="G20" s="100" t="s">
        <v>283</v>
      </c>
      <c r="H20" s="100" t="s">
        <v>65</v>
      </c>
      <c r="I20" s="117">
        <v>4915.2299999999996</v>
      </c>
      <c r="J20" s="118" t="s">
        <v>284</v>
      </c>
    </row>
    <row r="21" spans="1:10" ht="36" customHeight="1">
      <c r="A21" s="100">
        <v>19</v>
      </c>
      <c r="B21" s="100">
        <v>7</v>
      </c>
      <c r="C21" s="100" t="s">
        <v>214</v>
      </c>
      <c r="D21" s="100" t="s">
        <v>281</v>
      </c>
      <c r="E21" s="100" t="s">
        <v>227</v>
      </c>
      <c r="F21" s="100" t="s">
        <v>281</v>
      </c>
      <c r="G21" s="100" t="s">
        <v>283</v>
      </c>
      <c r="H21" s="100" t="s">
        <v>65</v>
      </c>
      <c r="I21" s="117">
        <v>4915.2299999999996</v>
      </c>
      <c r="J21" s="118" t="s">
        <v>284</v>
      </c>
    </row>
    <row r="22" spans="1:10" ht="36" customHeight="1">
      <c r="A22" s="100">
        <v>20</v>
      </c>
      <c r="B22" s="100">
        <v>9</v>
      </c>
      <c r="C22" s="100" t="s">
        <v>214</v>
      </c>
      <c r="D22" s="100" t="s">
        <v>215</v>
      </c>
      <c r="E22" s="100" t="s">
        <v>227</v>
      </c>
      <c r="F22" s="100" t="s">
        <v>215</v>
      </c>
      <c r="G22" s="100" t="s">
        <v>283</v>
      </c>
      <c r="H22" s="100" t="s">
        <v>65</v>
      </c>
      <c r="I22" s="117">
        <v>12779.59</v>
      </c>
      <c r="J22" s="118" t="s">
        <v>284</v>
      </c>
    </row>
    <row r="23" spans="1:10" ht="36" customHeight="1">
      <c r="A23" s="100">
        <v>21</v>
      </c>
      <c r="B23" s="100">
        <v>14</v>
      </c>
      <c r="C23" s="100" t="s">
        <v>214</v>
      </c>
      <c r="D23" s="100" t="s">
        <v>282</v>
      </c>
      <c r="E23" s="100" t="s">
        <v>227</v>
      </c>
      <c r="F23" s="100" t="s">
        <v>282</v>
      </c>
      <c r="G23" s="100" t="s">
        <v>283</v>
      </c>
      <c r="H23" s="100" t="s">
        <v>65</v>
      </c>
      <c r="I23" s="117">
        <v>12779.59</v>
      </c>
      <c r="J23" s="118" t="s">
        <v>284</v>
      </c>
    </row>
    <row r="24" spans="1:10" ht="36" customHeight="1">
      <c r="A24" s="100">
        <v>22</v>
      </c>
      <c r="B24" s="100">
        <v>15</v>
      </c>
      <c r="C24" s="100" t="s">
        <v>214</v>
      </c>
      <c r="D24" s="100" t="s">
        <v>282</v>
      </c>
      <c r="E24" s="100" t="s">
        <v>227</v>
      </c>
      <c r="F24" s="100" t="s">
        <v>282</v>
      </c>
      <c r="G24" s="100" t="s">
        <v>283</v>
      </c>
      <c r="H24" s="100" t="s">
        <v>65</v>
      </c>
      <c r="I24" s="117">
        <v>12779.59</v>
      </c>
      <c r="J24" s="118" t="s">
        <v>284</v>
      </c>
    </row>
    <row r="25" spans="1:10" ht="36" customHeight="1">
      <c r="A25" s="100">
        <v>23</v>
      </c>
      <c r="B25" s="100">
        <v>24</v>
      </c>
      <c r="C25" s="100" t="s">
        <v>266</v>
      </c>
      <c r="D25" s="100" t="s">
        <v>278</v>
      </c>
      <c r="E25" s="100" t="s">
        <v>227</v>
      </c>
      <c r="F25" s="100" t="s">
        <v>278</v>
      </c>
      <c r="G25" s="100" t="s">
        <v>283</v>
      </c>
      <c r="H25" s="100" t="s">
        <v>65</v>
      </c>
      <c r="I25" s="117">
        <v>10000</v>
      </c>
      <c r="J25" s="118" t="s">
        <v>284</v>
      </c>
    </row>
    <row r="26" spans="1:10" ht="36" customHeight="1">
      <c r="A26" s="100">
        <v>24</v>
      </c>
      <c r="B26" s="100">
        <v>25</v>
      </c>
      <c r="C26" s="100" t="s">
        <v>266</v>
      </c>
      <c r="D26" s="100" t="s">
        <v>278</v>
      </c>
      <c r="E26" s="100" t="s">
        <v>227</v>
      </c>
      <c r="F26" s="100" t="s">
        <v>278</v>
      </c>
      <c r="G26" s="100" t="s">
        <v>283</v>
      </c>
      <c r="H26" s="100" t="s">
        <v>65</v>
      </c>
      <c r="I26" s="117">
        <v>10000</v>
      </c>
      <c r="J26" s="118" t="s">
        <v>284</v>
      </c>
    </row>
    <row r="27" spans="1:10" ht="36" customHeight="1">
      <c r="A27" s="100">
        <v>25</v>
      </c>
      <c r="B27" s="100">
        <v>2860</v>
      </c>
      <c r="C27" s="100" t="s">
        <v>267</v>
      </c>
      <c r="D27" s="100" t="s">
        <v>276</v>
      </c>
      <c r="E27" s="100" t="s">
        <v>227</v>
      </c>
      <c r="F27" s="100" t="s">
        <v>276</v>
      </c>
      <c r="G27" s="100" t="s">
        <v>283</v>
      </c>
      <c r="H27" s="100" t="s">
        <v>65</v>
      </c>
      <c r="I27" s="117">
        <v>30000</v>
      </c>
      <c r="J27" s="118" t="s">
        <v>284</v>
      </c>
    </row>
    <row r="28" spans="1:10" ht="36" customHeight="1">
      <c r="A28" s="100">
        <v>26</v>
      </c>
      <c r="B28" s="100">
        <v>8</v>
      </c>
      <c r="C28" s="100" t="s">
        <v>268</v>
      </c>
      <c r="D28" s="100" t="s">
        <v>215</v>
      </c>
      <c r="E28" s="100" t="s">
        <v>227</v>
      </c>
      <c r="F28" s="100" t="s">
        <v>215</v>
      </c>
      <c r="G28" s="100" t="s">
        <v>283</v>
      </c>
      <c r="H28" s="100" t="s">
        <v>65</v>
      </c>
      <c r="I28" s="117">
        <v>5000</v>
      </c>
      <c r="J28" s="118" t="s">
        <v>284</v>
      </c>
    </row>
    <row r="29" spans="1:10" ht="36" customHeight="1">
      <c r="A29" s="100">
        <v>27</v>
      </c>
      <c r="B29" s="100">
        <v>14</v>
      </c>
      <c r="C29" s="100" t="s">
        <v>269</v>
      </c>
      <c r="D29" s="100" t="s">
        <v>282</v>
      </c>
      <c r="E29" s="100" t="s">
        <v>227</v>
      </c>
      <c r="F29" s="100" t="s">
        <v>282</v>
      </c>
      <c r="G29" s="100" t="s">
        <v>283</v>
      </c>
      <c r="H29" s="100" t="s">
        <v>65</v>
      </c>
      <c r="I29" s="117">
        <v>5000</v>
      </c>
      <c r="J29" s="118" t="s">
        <v>284</v>
      </c>
    </row>
    <row r="30" spans="1:10" ht="36" customHeight="1">
      <c r="A30" s="100">
        <v>28</v>
      </c>
      <c r="B30" s="100">
        <v>18</v>
      </c>
      <c r="C30" s="100" t="s">
        <v>269</v>
      </c>
      <c r="D30" s="100" t="s">
        <v>278</v>
      </c>
      <c r="E30" s="100" t="s">
        <v>227</v>
      </c>
      <c r="F30" s="100" t="s">
        <v>278</v>
      </c>
      <c r="G30" s="100" t="s">
        <v>283</v>
      </c>
      <c r="H30" s="100" t="s">
        <v>65</v>
      </c>
      <c r="I30" s="117">
        <v>5000</v>
      </c>
      <c r="J30" s="118" t="s">
        <v>284</v>
      </c>
    </row>
    <row r="31" spans="1:10" ht="36" customHeight="1">
      <c r="A31" s="100">
        <v>29</v>
      </c>
      <c r="B31" s="100">
        <v>17</v>
      </c>
      <c r="C31" s="100" t="s">
        <v>270</v>
      </c>
      <c r="D31" s="100" t="s">
        <v>278</v>
      </c>
      <c r="E31" s="100" t="s">
        <v>227</v>
      </c>
      <c r="F31" s="100" t="s">
        <v>278</v>
      </c>
      <c r="G31" s="100" t="s">
        <v>283</v>
      </c>
      <c r="H31" s="100" t="s">
        <v>65</v>
      </c>
      <c r="I31" s="117">
        <v>5000</v>
      </c>
      <c r="J31" s="118" t="s">
        <v>284</v>
      </c>
    </row>
    <row r="32" spans="1:10" ht="36" customHeight="1">
      <c r="A32" s="100">
        <v>30</v>
      </c>
      <c r="B32" s="100">
        <v>19</v>
      </c>
      <c r="C32" s="100" t="s">
        <v>271</v>
      </c>
      <c r="D32" s="100" t="s">
        <v>278</v>
      </c>
      <c r="E32" s="100" t="s">
        <v>227</v>
      </c>
      <c r="F32" s="100" t="s">
        <v>278</v>
      </c>
      <c r="G32" s="100" t="s">
        <v>283</v>
      </c>
      <c r="H32" s="100" t="s">
        <v>65</v>
      </c>
      <c r="I32" s="117">
        <v>5000</v>
      </c>
      <c r="J32" s="118" t="s">
        <v>284</v>
      </c>
    </row>
    <row r="33" spans="1:10" ht="36" customHeight="1">
      <c r="A33" s="100">
        <v>31</v>
      </c>
      <c r="B33" s="100">
        <v>20</v>
      </c>
      <c r="C33" s="100" t="s">
        <v>272</v>
      </c>
      <c r="D33" s="100" t="s">
        <v>278</v>
      </c>
      <c r="E33" s="100" t="s">
        <v>227</v>
      </c>
      <c r="F33" s="100" t="s">
        <v>278</v>
      </c>
      <c r="G33" s="100" t="s">
        <v>283</v>
      </c>
      <c r="H33" s="100" t="s">
        <v>65</v>
      </c>
      <c r="I33" s="117">
        <v>5000</v>
      </c>
      <c r="J33" s="118" t="s">
        <v>284</v>
      </c>
    </row>
    <row r="34" spans="1:10" ht="36" customHeight="1">
      <c r="A34" s="100">
        <v>32</v>
      </c>
      <c r="B34" s="100">
        <v>21</v>
      </c>
      <c r="C34" s="100" t="s">
        <v>273</v>
      </c>
      <c r="D34" s="100" t="s">
        <v>278</v>
      </c>
      <c r="E34" s="100" t="s">
        <v>227</v>
      </c>
      <c r="F34" s="100" t="s">
        <v>278</v>
      </c>
      <c r="G34" s="100" t="s">
        <v>283</v>
      </c>
      <c r="H34" s="100" t="s">
        <v>65</v>
      </c>
      <c r="I34" s="117">
        <v>5000</v>
      </c>
      <c r="J34" s="118" t="s">
        <v>284</v>
      </c>
    </row>
    <row r="35" spans="1:10" ht="36" customHeight="1">
      <c r="A35" s="100">
        <v>33</v>
      </c>
      <c r="B35" s="100">
        <v>22</v>
      </c>
      <c r="C35" s="100" t="s">
        <v>274</v>
      </c>
      <c r="D35" s="100" t="s">
        <v>278</v>
      </c>
      <c r="E35" s="100" t="s">
        <v>227</v>
      </c>
      <c r="F35" s="100" t="s">
        <v>278</v>
      </c>
      <c r="G35" s="100" t="s">
        <v>283</v>
      </c>
      <c r="H35" s="100" t="s">
        <v>65</v>
      </c>
      <c r="I35" s="117">
        <v>5000</v>
      </c>
      <c r="J35" s="118" t="s">
        <v>284</v>
      </c>
    </row>
    <row r="36" spans="1:10" ht="36" customHeight="1">
      <c r="A36" s="100">
        <v>34</v>
      </c>
      <c r="B36" s="100"/>
      <c r="C36" s="100" t="s">
        <v>297</v>
      </c>
      <c r="D36" s="100" t="s">
        <v>278</v>
      </c>
      <c r="E36" s="100" t="s">
        <v>227</v>
      </c>
      <c r="F36" s="100" t="s">
        <v>278</v>
      </c>
      <c r="G36" s="100" t="s">
        <v>283</v>
      </c>
      <c r="H36" s="100" t="s">
        <v>298</v>
      </c>
      <c r="I36" s="117">
        <v>5000</v>
      </c>
      <c r="J36" s="118" t="s">
        <v>284</v>
      </c>
    </row>
    <row r="37" spans="1:10" ht="36" customHeight="1">
      <c r="A37" s="100">
        <v>35</v>
      </c>
      <c r="B37" s="100"/>
      <c r="C37" s="100" t="s">
        <v>296</v>
      </c>
      <c r="D37" s="100" t="s">
        <v>278</v>
      </c>
      <c r="E37" s="100" t="s">
        <v>227</v>
      </c>
      <c r="F37" s="100" t="s">
        <v>278</v>
      </c>
      <c r="G37" s="100" t="s">
        <v>283</v>
      </c>
      <c r="H37" s="100" t="s">
        <v>298</v>
      </c>
      <c r="I37" s="117">
        <v>5000</v>
      </c>
      <c r="J37" s="118" t="s">
        <v>284</v>
      </c>
    </row>
    <row r="38" spans="1:10" ht="36" customHeight="1">
      <c r="A38" s="100">
        <v>36</v>
      </c>
      <c r="B38" s="100">
        <v>32</v>
      </c>
      <c r="C38" s="100" t="s">
        <v>275</v>
      </c>
      <c r="D38" s="100" t="s">
        <v>278</v>
      </c>
      <c r="E38" s="100" t="s">
        <v>227</v>
      </c>
      <c r="F38" s="100" t="s">
        <v>278</v>
      </c>
      <c r="G38" s="100" t="s">
        <v>283</v>
      </c>
      <c r="H38" s="100" t="s">
        <v>65</v>
      </c>
      <c r="I38" s="117">
        <v>5000</v>
      </c>
      <c r="J38" s="118" t="s">
        <v>284</v>
      </c>
    </row>
    <row r="39" spans="1:10" ht="36" customHeight="1">
      <c r="A39" s="100">
        <v>37</v>
      </c>
      <c r="B39" s="100" t="s">
        <v>118</v>
      </c>
      <c r="C39" s="100" t="s">
        <v>119</v>
      </c>
      <c r="D39" s="100" t="s">
        <v>278</v>
      </c>
      <c r="E39" s="100" t="s">
        <v>227</v>
      </c>
      <c r="F39" s="100" t="s">
        <v>566</v>
      </c>
      <c r="G39" s="100" t="s">
        <v>283</v>
      </c>
      <c r="H39" s="100" t="s">
        <v>65</v>
      </c>
      <c r="I39" s="117">
        <v>220000</v>
      </c>
      <c r="J39" s="118" t="s">
        <v>284</v>
      </c>
    </row>
    <row r="40" spans="1:10" ht="36" customHeight="1">
      <c r="A40" s="100">
        <v>38</v>
      </c>
      <c r="B40" s="100" t="s">
        <v>123</v>
      </c>
      <c r="C40" s="100" t="s">
        <v>124</v>
      </c>
      <c r="D40" s="100" t="s">
        <v>278</v>
      </c>
      <c r="E40" s="100" t="s">
        <v>227</v>
      </c>
      <c r="F40" s="100" t="s">
        <v>278</v>
      </c>
      <c r="G40" s="100" t="s">
        <v>283</v>
      </c>
      <c r="H40" s="100" t="s">
        <v>65</v>
      </c>
      <c r="I40" s="117">
        <v>3570000</v>
      </c>
      <c r="J40" s="118" t="s">
        <v>284</v>
      </c>
    </row>
    <row r="41" spans="1:10" ht="36" customHeight="1">
      <c r="A41" s="100">
        <v>39</v>
      </c>
      <c r="B41" s="100" t="s">
        <v>125</v>
      </c>
      <c r="C41" s="100" t="s">
        <v>126</v>
      </c>
      <c r="D41" s="100" t="s">
        <v>278</v>
      </c>
      <c r="E41" s="100" t="s">
        <v>227</v>
      </c>
      <c r="F41" s="100" t="s">
        <v>278</v>
      </c>
      <c r="G41" s="100" t="s">
        <v>283</v>
      </c>
      <c r="H41" s="100" t="s">
        <v>65</v>
      </c>
      <c r="I41" s="117">
        <v>176948.22683871919</v>
      </c>
      <c r="J41" s="118" t="s">
        <v>284</v>
      </c>
    </row>
    <row r="42" spans="1:10" ht="36" customHeight="1">
      <c r="A42" s="100">
        <v>40</v>
      </c>
      <c r="B42" s="100" t="s">
        <v>136</v>
      </c>
      <c r="C42" s="100" t="s">
        <v>137</v>
      </c>
      <c r="D42" s="100" t="s">
        <v>278</v>
      </c>
      <c r="E42" s="100" t="s">
        <v>227</v>
      </c>
      <c r="F42" s="100" t="s">
        <v>278</v>
      </c>
      <c r="G42" s="100" t="s">
        <v>283</v>
      </c>
      <c r="H42" s="100" t="s">
        <v>65</v>
      </c>
      <c r="I42" s="117">
        <v>242812.28905090911</v>
      </c>
      <c r="J42" s="118" t="s">
        <v>284</v>
      </c>
    </row>
    <row r="43" spans="1:10" ht="36" customHeight="1">
      <c r="A43" s="100">
        <v>41</v>
      </c>
      <c r="B43" s="100" t="s">
        <v>138</v>
      </c>
      <c r="C43" s="100" t="s">
        <v>137</v>
      </c>
      <c r="D43" s="100" t="s">
        <v>278</v>
      </c>
      <c r="E43" s="100" t="s">
        <v>227</v>
      </c>
      <c r="F43" s="100" t="s">
        <v>278</v>
      </c>
      <c r="G43" s="100" t="s">
        <v>283</v>
      </c>
      <c r="H43" s="100" t="s">
        <v>65</v>
      </c>
      <c r="I43" s="117">
        <v>242812.28905090911</v>
      </c>
      <c r="J43" s="118" t="s">
        <v>284</v>
      </c>
    </row>
    <row r="44" spans="1:10" ht="36" customHeight="1">
      <c r="A44" s="100">
        <v>42</v>
      </c>
      <c r="B44" s="100" t="s">
        <v>139</v>
      </c>
      <c r="C44" s="100" t="s">
        <v>140</v>
      </c>
      <c r="D44" s="100" t="s">
        <v>278</v>
      </c>
      <c r="E44" s="100" t="s">
        <v>227</v>
      </c>
      <c r="F44" s="100" t="s">
        <v>278</v>
      </c>
      <c r="G44" s="100" t="s">
        <v>283</v>
      </c>
      <c r="H44" s="100" t="s">
        <v>65</v>
      </c>
      <c r="I44" s="117">
        <v>242812.28905090911</v>
      </c>
      <c r="J44" s="118" t="s">
        <v>284</v>
      </c>
    </row>
    <row r="45" spans="1:10" ht="36" customHeight="1">
      <c r="A45" s="100">
        <v>43</v>
      </c>
      <c r="B45" s="100" t="s">
        <v>141</v>
      </c>
      <c r="C45" s="100" t="s">
        <v>140</v>
      </c>
      <c r="D45" s="100" t="s">
        <v>278</v>
      </c>
      <c r="E45" s="100" t="s">
        <v>227</v>
      </c>
      <c r="F45" s="100" t="s">
        <v>278</v>
      </c>
      <c r="G45" s="100" t="s">
        <v>283</v>
      </c>
      <c r="H45" s="100" t="s">
        <v>65</v>
      </c>
      <c r="I45" s="117">
        <v>242812.28905090911</v>
      </c>
      <c r="J45" s="118" t="s">
        <v>284</v>
      </c>
    </row>
    <row r="46" spans="1:10" ht="36" customHeight="1">
      <c r="A46" s="100">
        <v>44</v>
      </c>
      <c r="B46" s="100" t="s">
        <v>142</v>
      </c>
      <c r="C46" s="100" t="s">
        <v>143</v>
      </c>
      <c r="D46" s="100" t="s">
        <v>278</v>
      </c>
      <c r="E46" s="100" t="s">
        <v>227</v>
      </c>
      <c r="F46" s="100" t="s">
        <v>278</v>
      </c>
      <c r="G46" s="100" t="s">
        <v>283</v>
      </c>
      <c r="H46" s="100" t="s">
        <v>65</v>
      </c>
      <c r="I46" s="117">
        <v>223642.89781004784</v>
      </c>
      <c r="J46" s="118" t="s">
        <v>284</v>
      </c>
    </row>
    <row r="47" spans="1:10" ht="36" customHeight="1">
      <c r="A47" s="100">
        <v>45</v>
      </c>
      <c r="B47" s="100" t="s">
        <v>156</v>
      </c>
      <c r="C47" s="100" t="s">
        <v>157</v>
      </c>
      <c r="D47" s="100" t="s">
        <v>278</v>
      </c>
      <c r="E47" s="100" t="s">
        <v>227</v>
      </c>
      <c r="F47" s="100" t="s">
        <v>278</v>
      </c>
      <c r="G47" s="100" t="s">
        <v>283</v>
      </c>
      <c r="H47" s="100" t="s">
        <v>65</v>
      </c>
      <c r="I47" s="117">
        <v>242812.28905090911</v>
      </c>
      <c r="J47" s="118" t="s">
        <v>284</v>
      </c>
    </row>
    <row r="48" spans="1:10" ht="36" customHeight="1">
      <c r="A48" s="100">
        <v>46</v>
      </c>
      <c r="B48" s="100" t="s">
        <v>168</v>
      </c>
      <c r="C48" s="100" t="s">
        <v>567</v>
      </c>
      <c r="D48" s="100" t="s">
        <v>278</v>
      </c>
      <c r="E48" s="100" t="s">
        <v>227</v>
      </c>
      <c r="F48" s="100" t="s">
        <v>278</v>
      </c>
      <c r="G48" s="100" t="s">
        <v>283</v>
      </c>
      <c r="H48" s="100" t="s">
        <v>65</v>
      </c>
      <c r="I48" s="117">
        <v>157287.31274552815</v>
      </c>
      <c r="J48" s="118" t="s">
        <v>284</v>
      </c>
    </row>
    <row r="49" spans="1:10" ht="36" customHeight="1">
      <c r="A49" s="100">
        <v>47</v>
      </c>
      <c r="B49" s="100" t="s">
        <v>169</v>
      </c>
      <c r="C49" s="100" t="s">
        <v>170</v>
      </c>
      <c r="D49" s="100" t="s">
        <v>278</v>
      </c>
      <c r="E49" s="100" t="s">
        <v>227</v>
      </c>
      <c r="F49" s="100" t="s">
        <v>278</v>
      </c>
      <c r="G49" s="100" t="s">
        <v>283</v>
      </c>
      <c r="H49" s="100" t="s">
        <v>65</v>
      </c>
      <c r="I49" s="117">
        <v>223642.89781004784</v>
      </c>
      <c r="J49" s="118" t="s">
        <v>284</v>
      </c>
    </row>
    <row r="50" spans="1:10" ht="36" customHeight="1">
      <c r="A50" s="100">
        <v>48</v>
      </c>
      <c r="B50" s="100" t="s">
        <v>177</v>
      </c>
      <c r="C50" s="100" t="s">
        <v>178</v>
      </c>
      <c r="D50" s="100" t="s">
        <v>278</v>
      </c>
      <c r="E50" s="100" t="s">
        <v>227</v>
      </c>
      <c r="F50" s="100" t="s">
        <v>278</v>
      </c>
      <c r="G50" s="100" t="s">
        <v>283</v>
      </c>
      <c r="H50" s="100" t="s">
        <v>65</v>
      </c>
      <c r="I50" s="117">
        <v>242812.28905090911</v>
      </c>
      <c r="J50" s="118" t="s">
        <v>284</v>
      </c>
    </row>
    <row r="51" spans="1:10" ht="36" customHeight="1">
      <c r="A51" s="100">
        <v>49</v>
      </c>
      <c r="B51" s="100" t="s">
        <v>84</v>
      </c>
      <c r="C51" s="100" t="s">
        <v>85</v>
      </c>
      <c r="D51" s="100" t="s">
        <v>278</v>
      </c>
      <c r="E51" s="100" t="s">
        <v>227</v>
      </c>
      <c r="F51" s="100" t="s">
        <v>278</v>
      </c>
      <c r="G51" s="100" t="s">
        <v>283</v>
      </c>
      <c r="H51" s="100" t="s">
        <v>65</v>
      </c>
      <c r="I51" s="117">
        <v>2614918.7029037802</v>
      </c>
      <c r="J51" s="118" t="s">
        <v>284</v>
      </c>
    </row>
    <row r="52" spans="1:10" ht="36" customHeight="1">
      <c r="A52" s="100">
        <v>50</v>
      </c>
      <c r="B52" s="100" t="s">
        <v>213</v>
      </c>
      <c r="C52" s="100" t="s">
        <v>214</v>
      </c>
      <c r="D52" s="100" t="s">
        <v>278</v>
      </c>
      <c r="E52" s="100" t="s">
        <v>227</v>
      </c>
      <c r="F52" s="100" t="s">
        <v>278</v>
      </c>
      <c r="G52" s="100" t="s">
        <v>283</v>
      </c>
      <c r="H52" s="100" t="s">
        <v>560</v>
      </c>
      <c r="I52" s="117">
        <v>223642.89781004784</v>
      </c>
      <c r="J52" s="118" t="s">
        <v>284</v>
      </c>
    </row>
    <row r="53" spans="1:10" ht="36" customHeight="1">
      <c r="A53" s="100">
        <v>51</v>
      </c>
      <c r="B53" s="100" t="s">
        <v>81</v>
      </c>
      <c r="C53" s="100" t="s">
        <v>565</v>
      </c>
      <c r="D53" s="100" t="s">
        <v>278</v>
      </c>
      <c r="E53" s="100" t="s">
        <v>227</v>
      </c>
      <c r="F53" s="100" t="s">
        <v>278</v>
      </c>
      <c r="G53" s="100" t="s">
        <v>283</v>
      </c>
      <c r="H53" s="100" t="s">
        <v>65</v>
      </c>
      <c r="I53" s="117">
        <v>980594.51358891756</v>
      </c>
      <c r="J53" s="118" t="s">
        <v>284</v>
      </c>
    </row>
    <row r="54" spans="1:10" ht="36" customHeight="1">
      <c r="A54" s="100"/>
      <c r="B54" s="100"/>
      <c r="C54" s="100"/>
      <c r="D54" s="100"/>
      <c r="E54" s="100"/>
      <c r="F54" s="100" t="s">
        <v>66</v>
      </c>
      <c r="G54" s="100"/>
      <c r="H54" s="100"/>
      <c r="I54" s="117">
        <f>SUM(I3:I53)</f>
        <v>10543770.353812542</v>
      </c>
      <c r="J54" s="118"/>
    </row>
    <row r="56" spans="1:10">
      <c r="I56" s="110"/>
    </row>
  </sheetData>
  <pageMargins left="0.7" right="0.7" top="0.75" bottom="0.75" header="0.3" footer="0.3"/>
  <pageSetup scale="4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view="pageBreakPreview" zoomScale="60" workbookViewId="0">
      <selection activeCell="G5" sqref="G5"/>
    </sheetView>
  </sheetViews>
  <sheetFormatPr defaultRowHeight="15"/>
  <cols>
    <col min="2" max="2" width="20.5703125" customWidth="1"/>
    <col min="3" max="3" width="36.28515625" customWidth="1"/>
    <col min="4" max="4" width="27" customWidth="1"/>
    <col min="5" max="5" width="28.140625" customWidth="1"/>
    <col min="6" max="6" width="28.5703125" customWidth="1"/>
    <col min="7" max="7" width="14" customWidth="1"/>
    <col min="8" max="8" width="16.5703125" customWidth="1"/>
    <col min="9" max="9" width="23.42578125" customWidth="1"/>
  </cols>
  <sheetData>
    <row r="1" spans="1:9" ht="18.75">
      <c r="C1" s="23" t="s">
        <v>287</v>
      </c>
    </row>
    <row r="2" spans="1:9" ht="21.75" thickBot="1">
      <c r="A2" s="2"/>
      <c r="B2" s="6" t="s">
        <v>42</v>
      </c>
    </row>
    <row r="3" spans="1:9" ht="36">
      <c r="A3" s="47" t="s">
        <v>0</v>
      </c>
      <c r="B3" s="48" t="s">
        <v>2</v>
      </c>
      <c r="C3" s="48" t="s">
        <v>29</v>
      </c>
      <c r="D3" s="48" t="s">
        <v>30</v>
      </c>
      <c r="E3" s="48" t="s">
        <v>31</v>
      </c>
      <c r="F3" s="48" t="s">
        <v>32</v>
      </c>
      <c r="G3" s="48" t="s">
        <v>33</v>
      </c>
      <c r="H3" s="48" t="s">
        <v>6</v>
      </c>
      <c r="I3" s="48" t="s">
        <v>34</v>
      </c>
    </row>
    <row r="4" spans="1:9" ht="47.25" customHeight="1">
      <c r="A4" s="49"/>
      <c r="B4" s="50"/>
      <c r="C4" s="50"/>
      <c r="D4" s="50"/>
      <c r="E4" s="51"/>
      <c r="F4" s="50"/>
      <c r="G4" s="50"/>
      <c r="H4" s="52"/>
      <c r="I4" s="53"/>
    </row>
    <row r="5" spans="1:9" ht="39.75" customHeight="1">
      <c r="A5" s="54"/>
      <c r="B5" s="50"/>
      <c r="C5" s="50"/>
      <c r="D5" s="50"/>
      <c r="E5" s="50"/>
      <c r="F5" s="50"/>
      <c r="G5" s="50"/>
      <c r="H5" s="52"/>
      <c r="I5" s="55"/>
    </row>
    <row r="6" spans="1:9" ht="51" customHeight="1" thickBot="1">
      <c r="A6" s="54"/>
      <c r="B6" s="50"/>
      <c r="C6" s="50"/>
      <c r="D6" s="50"/>
      <c r="E6" s="50"/>
      <c r="F6" s="56"/>
      <c r="G6" s="56"/>
      <c r="H6" s="52"/>
      <c r="I6" s="57"/>
    </row>
    <row r="7" spans="1:9" ht="16.5" thickBot="1">
      <c r="A7" s="58"/>
      <c r="B7" s="58"/>
      <c r="C7" s="58"/>
      <c r="D7" s="58"/>
      <c r="E7" s="58"/>
      <c r="F7" s="59" t="s">
        <v>66</v>
      </c>
      <c r="G7" s="60"/>
      <c r="H7" s="60"/>
      <c r="I7" s="61">
        <f>SUM(I4:I6)</f>
        <v>0</v>
      </c>
    </row>
  </sheetData>
  <conditionalFormatting sqref="B4:B6">
    <cfRule type="duplicateValues" dxfId="4" priority="12"/>
    <cfRule type="duplicateValues" dxfId="3" priority="13"/>
  </conditionalFormatting>
  <conditionalFormatting sqref="B4:B6">
    <cfRule type="duplicateValues" dxfId="2" priority="11"/>
  </conditionalFormatting>
  <conditionalFormatting sqref="H4:H6">
    <cfRule type="expression" dxfId="1" priority="10" stopIfTrue="1">
      <formula>IF(AND(ISERROR(DATEVALUE(TEXT(H4,"DD MMMM YYYY"))),H4&lt;&gt;""),TRUE,FALSE)</formula>
    </cfRule>
  </conditionalFormatting>
  <conditionalFormatting sqref="I6 I4">
    <cfRule type="expression" dxfId="0" priority="9">
      <formula>(IF(ISNUMBER(I4),FALSE,IF(ISBLANK(I4),FALSE,TRUE)))</formula>
    </cfRule>
  </conditionalFormatting>
  <dataValidations count="2">
    <dataValidation type="custom" allowBlank="1" showInputMessage="1" showErrorMessage="1" errorTitle="Umekosea" error="Tafadhali ingiza tarehe kwa usahihi. Mf. 12 Jul 2021. _x000a_Aidha, tarehe ya kununuliwa haiwezi kuwa kubwa zaidi ya tarehe ya kusajiliwa." sqref="H4:H6">
      <formula1>IF(H4&gt;G4,FALSE,TRUE)</formula1>
    </dataValidation>
    <dataValidation type="decimal" allowBlank="1" showInputMessage="1" showErrorMessage="1" errorTitle="Umekosea" error="Tafadhali ingiza tarakimu." sqref="I4 I6">
      <formula1>0</formula1>
      <formula2>999999999999</formula2>
    </dataValidation>
  </dataValidations>
  <pageMargins left="0.7" right="0.7" top="0.75" bottom="0.75" header="0.3" footer="0.3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MALI GHALANI</vt:lpstr>
      <vt:lpstr>MAGARI NA MITAMBO</vt:lpstr>
      <vt:lpstr>ARDHI</vt:lpstr>
      <vt:lpstr>MAJENGO</vt:lpstr>
      <vt:lpstr>SAMANI</vt:lpstr>
      <vt:lpstr>MALI ZA KUONDOSHA</vt:lpstr>
      <vt:lpstr>NOT IN GAMIS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2025-07-10T06:09:31Z</dcterms:modified>
</cp:coreProperties>
</file>